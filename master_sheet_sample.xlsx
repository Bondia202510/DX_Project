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301a0ff367fd0ad/デスクトップ/Bondia/dx_20260220/"/>
    </mc:Choice>
  </mc:AlternateContent>
  <xr:revisionPtr revIDLastSave="0" documentId="8_{7D4F8E2F-C10C-471B-9912-F66140EFA8C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受注管理" sheetId="1" r:id="rId1"/>
    <sheet name="売上管理" sheetId="2" r:id="rId2"/>
    <sheet name="仕入管理" sheetId="3" r:id="rId3"/>
    <sheet name="商品マスタ" sheetId="4" r:id="rId4"/>
    <sheet name="顧客マスタ" sheetId="5" r:id="rId5"/>
    <sheet name="予算実績対比" sheetId="6" r:id="rId6"/>
    <sheet name="使い方ガイド" sheetId="7" r:id="rId7"/>
  </sheets>
  <definedNames>
    <definedName name="_xlnm._FilterDatabase" localSheetId="2" hidden="1">仕入管理!$A$3:$M$28</definedName>
    <definedName name="_xlnm._FilterDatabase" localSheetId="0" hidden="1">受注管理!$A$3:$N$33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5" i="6" l="1"/>
  <c r="J15" i="6" s="1"/>
  <c r="I14" i="6"/>
  <c r="J14" i="6" s="1"/>
  <c r="I13" i="6"/>
  <c r="J13" i="6" s="1"/>
  <c r="I12" i="6"/>
  <c r="J12" i="6" s="1"/>
  <c r="I11" i="6"/>
  <c r="J11" i="6" s="1"/>
  <c r="I10" i="6"/>
  <c r="J10" i="6" s="1"/>
  <c r="I9" i="6"/>
  <c r="J9" i="6" s="1"/>
  <c r="I8" i="6"/>
  <c r="J8" i="6" s="1"/>
  <c r="I7" i="6"/>
  <c r="J7" i="6" s="1"/>
  <c r="I6" i="6"/>
  <c r="J6" i="6" s="1"/>
  <c r="I5" i="6"/>
  <c r="J5" i="6" s="1"/>
  <c r="I4" i="6"/>
  <c r="J4" i="6" s="1"/>
  <c r="J11" i="4"/>
  <c r="G11" i="4"/>
  <c r="F11" i="4"/>
  <c r="J10" i="4"/>
  <c r="F10" i="4"/>
  <c r="G10" i="4" s="1"/>
  <c r="J9" i="4"/>
  <c r="G9" i="4"/>
  <c r="F9" i="4"/>
  <c r="J8" i="4"/>
  <c r="F8" i="4"/>
  <c r="G8" i="4" s="1"/>
  <c r="J7" i="4"/>
  <c r="G7" i="4"/>
  <c r="F7" i="4"/>
  <c r="J6" i="4"/>
  <c r="F6" i="4"/>
  <c r="G6" i="4" s="1"/>
  <c r="J5" i="4"/>
  <c r="G5" i="4"/>
  <c r="F5" i="4"/>
  <c r="J4" i="4"/>
  <c r="F4" i="4"/>
  <c r="G4" i="4" s="1"/>
  <c r="J29" i="3"/>
  <c r="G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D16" i="2"/>
  <c r="C16" i="2"/>
  <c r="B16" i="2"/>
  <c r="E15" i="2"/>
  <c r="E14" i="2"/>
  <c r="L15" i="2" s="1"/>
  <c r="E13" i="2"/>
  <c r="L14" i="2" s="1"/>
  <c r="E12" i="2"/>
  <c r="L13" i="2" s="1"/>
  <c r="E11" i="2"/>
  <c r="L12" i="2" s="1"/>
  <c r="E10" i="2"/>
  <c r="L11" i="2" s="1"/>
  <c r="E9" i="2"/>
  <c r="L10" i="2" s="1"/>
  <c r="E8" i="2"/>
  <c r="L9" i="2" s="1"/>
  <c r="E7" i="2"/>
  <c r="L8" i="2" s="1"/>
  <c r="E6" i="2"/>
  <c r="L7" i="2" s="1"/>
  <c r="E5" i="2"/>
  <c r="E16" i="2" s="1"/>
  <c r="E4" i="2"/>
  <c r="F4" i="2" s="1"/>
  <c r="H34" i="1"/>
  <c r="M33" i="1"/>
  <c r="L33" i="1"/>
  <c r="J33" i="1"/>
  <c r="L32" i="1"/>
  <c r="J32" i="1"/>
  <c r="M32" i="1" s="1"/>
  <c r="J31" i="1"/>
  <c r="J30" i="1"/>
  <c r="L30" i="1" s="1"/>
  <c r="M30" i="1" s="1"/>
  <c r="M29" i="1"/>
  <c r="L29" i="1"/>
  <c r="J29" i="1"/>
  <c r="L28" i="1"/>
  <c r="J28" i="1"/>
  <c r="M28" i="1" s="1"/>
  <c r="J27" i="1"/>
  <c r="J26" i="1"/>
  <c r="L26" i="1" s="1"/>
  <c r="M26" i="1" s="1"/>
  <c r="M25" i="1"/>
  <c r="L25" i="1"/>
  <c r="J25" i="1"/>
  <c r="L24" i="1"/>
  <c r="J24" i="1"/>
  <c r="M24" i="1" s="1"/>
  <c r="J23" i="1"/>
  <c r="J22" i="1"/>
  <c r="L22" i="1" s="1"/>
  <c r="M22" i="1" s="1"/>
  <c r="M21" i="1"/>
  <c r="L21" i="1"/>
  <c r="J21" i="1"/>
  <c r="L20" i="1"/>
  <c r="J20" i="1"/>
  <c r="M20" i="1" s="1"/>
  <c r="J19" i="1"/>
  <c r="J18" i="1"/>
  <c r="L18" i="1" s="1"/>
  <c r="M18" i="1" s="1"/>
  <c r="M17" i="1"/>
  <c r="L17" i="1"/>
  <c r="J17" i="1"/>
  <c r="L16" i="1"/>
  <c r="J16" i="1"/>
  <c r="M16" i="1" s="1"/>
  <c r="J15" i="1"/>
  <c r="J14" i="1"/>
  <c r="L14" i="1" s="1"/>
  <c r="M14" i="1" s="1"/>
  <c r="M13" i="1"/>
  <c r="L13" i="1"/>
  <c r="J13" i="1"/>
  <c r="L12" i="1"/>
  <c r="J12" i="1"/>
  <c r="M12" i="1" s="1"/>
  <c r="J11" i="1"/>
  <c r="J10" i="1"/>
  <c r="L10" i="1" s="1"/>
  <c r="M10" i="1" s="1"/>
  <c r="M9" i="1"/>
  <c r="L9" i="1"/>
  <c r="J9" i="1"/>
  <c r="L8" i="1"/>
  <c r="J8" i="1"/>
  <c r="M8" i="1" s="1"/>
  <c r="J7" i="1"/>
  <c r="J6" i="1"/>
  <c r="L6" i="1" s="1"/>
  <c r="M6" i="1" s="1"/>
  <c r="M5" i="1"/>
  <c r="L5" i="1"/>
  <c r="J5" i="1"/>
  <c r="L4" i="1"/>
  <c r="J4" i="1"/>
  <c r="J34" i="1" s="1"/>
  <c r="G4" i="2" l="1"/>
  <c r="I5" i="2"/>
  <c r="I6" i="2"/>
  <c r="I9" i="2"/>
  <c r="I11" i="2"/>
  <c r="I13" i="2"/>
  <c r="I15" i="2"/>
  <c r="M4" i="1"/>
  <c r="L7" i="1"/>
  <c r="M7" i="1" s="1"/>
  <c r="L15" i="1"/>
  <c r="M15" i="1" s="1"/>
  <c r="L27" i="1"/>
  <c r="M27" i="1" s="1"/>
  <c r="L31" i="1"/>
  <c r="M31" i="1" s="1"/>
  <c r="F5" i="2"/>
  <c r="F16" i="2" s="1"/>
  <c r="F6" i="2"/>
  <c r="F7" i="2"/>
  <c r="F8" i="2"/>
  <c r="F9" i="2"/>
  <c r="F10" i="2"/>
  <c r="F11" i="2"/>
  <c r="F12" i="2"/>
  <c r="F13" i="2"/>
  <c r="F14" i="2"/>
  <c r="I7" i="2"/>
  <c r="I8" i="2"/>
  <c r="I10" i="2"/>
  <c r="I12" i="2"/>
  <c r="I14" i="2"/>
  <c r="L11" i="1"/>
  <c r="M11" i="1" s="1"/>
  <c r="L19" i="1"/>
  <c r="M19" i="1" s="1"/>
  <c r="L23" i="1"/>
  <c r="M23" i="1" s="1"/>
  <c r="I4" i="2"/>
  <c r="I16" i="2" s="1"/>
  <c r="F15" i="2"/>
  <c r="G5" i="2"/>
  <c r="J5" i="2" s="1"/>
  <c r="K5" i="2"/>
  <c r="G6" i="2"/>
  <c r="J6" i="2" s="1"/>
  <c r="K6" i="2" s="1"/>
  <c r="G7" i="2"/>
  <c r="J7" i="2" s="1"/>
  <c r="K7" i="2"/>
  <c r="G8" i="2"/>
  <c r="J8" i="2" s="1"/>
  <c r="K8" i="2" s="1"/>
  <c r="G9" i="2"/>
  <c r="J9" i="2" s="1"/>
  <c r="K9" i="2"/>
  <c r="G10" i="2"/>
  <c r="J10" i="2" s="1"/>
  <c r="K10" i="2" s="1"/>
  <c r="G11" i="2"/>
  <c r="J11" i="2" s="1"/>
  <c r="K11" i="2"/>
  <c r="G12" i="2"/>
  <c r="J12" i="2" s="1"/>
  <c r="K12" i="2" s="1"/>
  <c r="G13" i="2"/>
  <c r="J13" i="2" s="1"/>
  <c r="K13" i="2" s="1"/>
  <c r="G14" i="2"/>
  <c r="J14" i="2" s="1"/>
  <c r="K14" i="2" s="1"/>
  <c r="G15" i="2"/>
  <c r="J15" i="2" s="1"/>
  <c r="K15" i="2" s="1"/>
  <c r="H5" i="2"/>
  <c r="L5" i="2"/>
  <c r="H6" i="2"/>
  <c r="L6" i="2"/>
  <c r="H7" i="2"/>
  <c r="H8" i="2"/>
  <c r="H9" i="2"/>
  <c r="H10" i="2"/>
  <c r="H11" i="2"/>
  <c r="H12" i="2"/>
  <c r="H13" i="2"/>
  <c r="H14" i="2"/>
  <c r="M34" i="1" l="1"/>
  <c r="J4" i="2"/>
  <c r="H4" i="2"/>
  <c r="G16" i="2"/>
  <c r="H16" i="2" s="1"/>
  <c r="H15" i="2"/>
  <c r="L34" i="1"/>
  <c r="K4" i="2" l="1"/>
  <c r="J16" i="2"/>
  <c r="K16" i="2" s="1"/>
</calcChain>
</file>

<file path=xl/sharedStrings.xml><?xml version="1.0" encoding="utf-8"?>
<sst xmlns="http://schemas.openxmlformats.org/spreadsheetml/2006/main" count="612" uniqueCount="274">
  <si>
    <t>受注管理台帳</t>
  </si>
  <si>
    <t>受注日</t>
  </si>
  <si>
    <t>顧客名</t>
  </si>
  <si>
    <t>顧客区分</t>
  </si>
  <si>
    <t>販売チャネル</t>
  </si>
  <si>
    <t>商品コード</t>
  </si>
  <si>
    <t>商品名</t>
  </si>
  <si>
    <t>数量</t>
  </si>
  <si>
    <t>単価（税抜）</t>
  </si>
  <si>
    <t>小計（税抜）</t>
  </si>
  <si>
    <t>税率</t>
  </si>
  <si>
    <t>税額</t>
  </si>
  <si>
    <t>合計（税込）</t>
  </si>
  <si>
    <t>ステータス</t>
  </si>
  <si>
    <t>ORD-20250001</t>
  </si>
  <si>
    <t>田中水産</t>
  </si>
  <si>
    <t>法人</t>
  </si>
  <si>
    <t>実店舗</t>
  </si>
  <si>
    <t>S004</t>
  </si>
  <si>
    <t>出荷済</t>
  </si>
  <si>
    <t>ORD-20250002</t>
  </si>
  <si>
    <t>個人</t>
  </si>
  <si>
    <t>S003</t>
  </si>
  <si>
    <t>受注済</t>
  </si>
  <si>
    <t>ORD-20250003</t>
  </si>
  <si>
    <t>S001</t>
  </si>
  <si>
    <t>ORD-20250004</t>
  </si>
  <si>
    <t>佐藤マート</t>
  </si>
  <si>
    <t>卸売</t>
  </si>
  <si>
    <t>S006</t>
  </si>
  <si>
    <t>出荷準備中</t>
  </si>
  <si>
    <t>ORD-20250005</t>
  </si>
  <si>
    <t>高橋ストア</t>
  </si>
  <si>
    <t>S008</t>
  </si>
  <si>
    <t>ORD-20250006</t>
  </si>
  <si>
    <t>電話注文</t>
  </si>
  <si>
    <t>キャンセル</t>
  </si>
  <si>
    <t>ORD-20250007</t>
  </si>
  <si>
    <t>S002</t>
  </si>
  <si>
    <t>ORD-20250008</t>
  </si>
  <si>
    <t>鈴木商店</t>
  </si>
  <si>
    <t>S007</t>
  </si>
  <si>
    <t>ORD-20250009</t>
  </si>
  <si>
    <t>S005</t>
  </si>
  <si>
    <t>ORD-20250010</t>
  </si>
  <si>
    <t>ORD-20250011</t>
  </si>
  <si>
    <t>山田食品</t>
  </si>
  <si>
    <t>ORD-20250012</t>
  </si>
  <si>
    <t>ORD-20250013</t>
  </si>
  <si>
    <t>ORD-20250014</t>
  </si>
  <si>
    <t>ORD-20250015</t>
  </si>
  <si>
    <t>ORD-20250016</t>
  </si>
  <si>
    <t>ORD-20250017</t>
  </si>
  <si>
    <t>配達完了</t>
  </si>
  <si>
    <t>ORD-20250018</t>
  </si>
  <si>
    <t>ORD-20250019</t>
  </si>
  <si>
    <t>ORD-20250020</t>
  </si>
  <si>
    <t>ORD-20250021</t>
  </si>
  <si>
    <t>ORD-20250022</t>
  </si>
  <si>
    <t>ORD-20250023</t>
  </si>
  <si>
    <t>ORD-20250024</t>
  </si>
  <si>
    <t>ORD-20250025</t>
  </si>
  <si>
    <t>ORD-20250026</t>
  </si>
  <si>
    <t>ORD-20250027</t>
  </si>
  <si>
    <t>ORD-20250028</t>
  </si>
  <si>
    <t>ORD-20250029</t>
  </si>
  <si>
    <t>ORD-20250030</t>
  </si>
  <si>
    <t>合計</t>
  </si>
  <si>
    <t>売上管理台帳（月次）</t>
  </si>
  <si>
    <t>年月</t>
  </si>
  <si>
    <t>実店舗売上</t>
  </si>
  <si>
    <t>卸売売上</t>
  </si>
  <si>
    <t>売上合計</t>
  </si>
  <si>
    <t>売上原価</t>
  </si>
  <si>
    <t>粗利益</t>
  </si>
  <si>
    <t>粗利率</t>
  </si>
  <si>
    <t>販管費</t>
  </si>
  <si>
    <t>営業利益</t>
  </si>
  <si>
    <t>営業利益率</t>
  </si>
  <si>
    <t>前月比</t>
  </si>
  <si>
    <t>2025/01</t>
  </si>
  <si>
    <t>-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</si>
  <si>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</si>
  <si>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</si>
  <si>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</si>
  <si>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</si>
  <si>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</si>
  <si>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</si>
  <si>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</si>
  <si>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</si>
  <si>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</si>
  <si>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</si>
  <si>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</si>
  <si>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年間合計</t>
  </si>
  <si>
    <t>仕入管理台帳</t>
  </si>
  <si>
    <t>仕入日</t>
  </si>
  <si>
    <t>仕入先</t>
  </si>
  <si>
    <t>仕入先区分</t>
  </si>
  <si>
    <t>単位</t>
  </si>
  <si>
    <t>仕入単価</t>
  </si>
  <si>
    <t>仕入金額</t>
  </si>
  <si>
    <t>納品予定日</t>
  </si>
  <si>
    <t>納品状況</t>
  </si>
  <si>
    <t>備考</t>
  </si>
  <si>
    <t>PO-20250001</t>
  </si>
  <si>
    <t>瀬戸内干物センター</t>
  </si>
  <si>
    <t>加工</t>
  </si>
  <si>
    <t>kg</t>
  </si>
  <si>
    <t>納品済</t>
  </si>
  <si>
    <t>PO-20250002</t>
  </si>
  <si>
    <t>長崎しらす漁業</t>
  </si>
  <si>
    <t>漁業</t>
  </si>
  <si>
    <t>箱</t>
  </si>
  <si>
    <t>PO-20250003</t>
  </si>
  <si>
    <t>愛知海苔組合</t>
  </si>
  <si>
    <t>組合</t>
  </si>
  <si>
    <t>PO-20250004</t>
  </si>
  <si>
    <t>配送中</t>
  </si>
  <si>
    <t>PO-20250005</t>
  </si>
  <si>
    <t>PO-20250006</t>
  </si>
  <si>
    <t>PO-20250007</t>
  </si>
  <si>
    <t>三陸水産加工</t>
  </si>
  <si>
    <t>水産加工</t>
  </si>
  <si>
    <t>PO-20250008</t>
  </si>
  <si>
    <t>PO-20250009</t>
  </si>
  <si>
    <t>PO-20250010</t>
  </si>
  <si>
    <t>発注中</t>
  </si>
  <si>
    <t>PO-20250011</t>
  </si>
  <si>
    <t>PO-20250012</t>
  </si>
  <si>
    <t>PO-20250013</t>
  </si>
  <si>
    <t>北海道昆布漁協</t>
  </si>
  <si>
    <t>漁協</t>
  </si>
  <si>
    <t>PO-20250014</t>
  </si>
  <si>
    <t>束</t>
  </si>
  <si>
    <t>PO-20250015</t>
  </si>
  <si>
    <t>PO-20250016</t>
  </si>
  <si>
    <t>PO-20250017</t>
  </si>
  <si>
    <t>PO-20250018</t>
  </si>
  <si>
    <t>PO-20250019</t>
  </si>
  <si>
    <t>PO-20250020</t>
  </si>
  <si>
    <t>PO-20250021</t>
  </si>
  <si>
    <t>PO-20250022</t>
  </si>
  <si>
    <t>PO-20250023</t>
  </si>
  <si>
    <t>PO-20250024</t>
  </si>
  <si>
    <t>PO-20250025</t>
  </si>
  <si>
    <t>商品マスタ</t>
  </si>
  <si>
    <t>カテゴリ</t>
  </si>
  <si>
    <t>販売単価（税抜）</t>
  </si>
  <si>
    <t>粗利単価</t>
  </si>
  <si>
    <t>在庫数</t>
  </si>
  <si>
    <t>最低在庫数</t>
  </si>
  <si>
    <t>在庫状況</t>
  </si>
  <si>
    <t>海藻類</t>
  </si>
  <si>
    <t>海苔</t>
  </si>
  <si>
    <t>小魚類</t>
  </si>
  <si>
    <t>エビ類</t>
  </si>
  <si>
    <t>出汁類</t>
  </si>
  <si>
    <t>顧客マスタ</t>
  </si>
  <si>
    <t>顧客コード</t>
  </si>
  <si>
    <t>都道府県</t>
  </si>
  <si>
    <t>連絡先</t>
  </si>
  <si>
    <t>取引開始日</t>
  </si>
  <si>
    <t>累計取引額</t>
  </si>
  <si>
    <t>直近取引日</t>
  </si>
  <si>
    <t>取引回数</t>
  </si>
  <si>
    <t>ランク</t>
  </si>
  <si>
    <t>C001</t>
  </si>
  <si>
    <t>宮城県</t>
  </si>
  <si>
    <t>022-XXX-XXXX</t>
  </si>
  <si>
    <t>2020/04/01</t>
  </si>
  <si>
    <t>2025/02/15</t>
  </si>
  <si>
    <t>A</t>
  </si>
  <si>
    <t>C002</t>
  </si>
  <si>
    <t>東京都</t>
  </si>
  <si>
    <t>03-XXXX-XXXX</t>
  </si>
  <si>
    <t>2021/01/15</t>
  </si>
  <si>
    <t>2025/02/10</t>
  </si>
  <si>
    <t>C003</t>
  </si>
  <si>
    <t>大阪府</t>
  </si>
  <si>
    <t>06-XXXX-XXXX</t>
  </si>
  <si>
    <t>2021/06/01</t>
  </si>
  <si>
    <t>2025/01/28</t>
  </si>
  <si>
    <t>B</t>
  </si>
  <si>
    <t>C004</t>
  </si>
  <si>
    <t>北海道</t>
  </si>
  <si>
    <t>011-XXX-XXXX</t>
  </si>
  <si>
    <t>2022/03/10</t>
  </si>
  <si>
    <t>2025/02/05</t>
  </si>
  <si>
    <t>C005</t>
  </si>
  <si>
    <t>福岡県</t>
  </si>
  <si>
    <t>092-XXX-XXXX</t>
  </si>
  <si>
    <t>2022/09/01</t>
  </si>
  <si>
    <t>2025/01/20</t>
  </si>
  <si>
    <t>C</t>
  </si>
  <si>
    <t>C006</t>
  </si>
  <si>
    <t>2023/05/01</t>
  </si>
  <si>
    <t>2025/02/12</t>
  </si>
  <si>
    <t>C007</t>
  </si>
  <si>
    <t>神奈川県</t>
  </si>
  <si>
    <t>2023/11/15</t>
  </si>
  <si>
    <t>2025/01/30</t>
  </si>
  <si>
    <t>D</t>
  </si>
  <si>
    <t>C008</t>
  </si>
  <si>
    <t>千葉県</t>
  </si>
  <si>
    <t>2024/02/01</t>
  </si>
  <si>
    <t>2024/12/20</t>
  </si>
  <si>
    <t>科目</t>
  </si>
  <si>
    <t>年間予算</t>
  </si>
  <si>
    <t>上期実績</t>
  </si>
  <si>
    <t>上期達成率</t>
  </si>
  <si>
    <t>売上高</t>
  </si>
  <si>
    <t>　実店舗売上</t>
  </si>
  <si>
    <t>　卸売売上</t>
  </si>
  <si>
    <t>販売管理費</t>
  </si>
  <si>
    <t>　人件費</t>
  </si>
  <si>
    <t>　物流費</t>
  </si>
  <si>
    <t>　広告宣伝費</t>
  </si>
  <si>
    <t>　その他</t>
  </si>
  <si>
    <t>経営マスターシート 使い方ガイド</t>
  </si>
  <si>
    <t>■ シート構成</t>
  </si>
  <si>
    <t>受注管理</t>
  </si>
  <si>
    <t>売上管理</t>
  </si>
  <si>
    <t>月次の売上をチャネル別に集計。グラフが自動で更新されます。</t>
  </si>
  <si>
    <t>仕入管理</t>
  </si>
  <si>
    <t>予算実績対比</t>
  </si>
  <si>
    <t>年間予算に対する月次実績と達成率を管理。</t>
  </si>
  <si>
    <t>■ 運用ルール</t>
  </si>
  <si>
    <t>入力タイミング</t>
  </si>
  <si>
    <t>入力担当</t>
  </si>
  <si>
    <t>受注管理→営業担当、仕入管理→購買担当、売上管理→経理担当</t>
  </si>
  <si>
    <t>月次レビュー</t>
  </si>
  <si>
    <t>■ 注意事項</t>
  </si>
  <si>
    <t>数式セル</t>
  </si>
  <si>
    <t>水色背景のセルは数式が入っています。直接入力しないでください。</t>
  </si>
  <si>
    <t>フィルター</t>
  </si>
  <si>
    <t>受注管理・仕入管理にはフィルターが設定済み。条件絞り込みが可能です。</t>
  </si>
  <si>
    <t>バックアップ</t>
  </si>
  <si>
    <t>毎週金曜日にファイルのバックアップを取得してください。</t>
  </si>
  <si>
    <t>■ 色分けルール</t>
  </si>
  <si>
    <t>青文字</t>
  </si>
  <si>
    <t>手入力する項目（変更可能なデータ）</t>
  </si>
  <si>
    <t>黒文字</t>
  </si>
  <si>
    <t>数式で自動計算される項目</t>
  </si>
  <si>
    <t>在庫状況や達成率の自動判定結果</t>
  </si>
  <si>
    <t>受注No.</t>
  </si>
  <si>
    <t>焼き海苔 100枚</t>
  </si>
  <si>
    <t>個人客C</t>
  </si>
  <si>
    <t>味付け海苔 50枚</t>
  </si>
  <si>
    <t>塩蔵わかめ 500g</t>
  </si>
  <si>
    <t>干しエビ 150g</t>
  </si>
  <si>
    <t>昆布だしパック 30袋</t>
  </si>
  <si>
    <t>天日干しひじき 200g</t>
  </si>
  <si>
    <t>煮干し 500g</t>
  </si>
  <si>
    <t>しらす干し 300g</t>
  </si>
  <si>
    <t>ECサイト</t>
  </si>
  <si>
    <t>個人客A</t>
  </si>
  <si>
    <t>個人客B</t>
  </si>
  <si>
    <t>EC売上</t>
  </si>
  <si>
    <t>仕入No.</t>
  </si>
  <si>
    <t>予算実績対比表（2025年度）</t>
  </si>
  <si>
    <t>4月</t>
  </si>
  <si>
    <t>5月</t>
  </si>
  <si>
    <t>6月</t>
  </si>
  <si>
    <t>7月</t>
  </si>
  <si>
    <t>8月</t>
  </si>
  <si>
    <t>9月</t>
  </si>
  <si>
    <t>　EC売上</t>
  </si>
  <si>
    <t>日々の受注を記録。受注No.は自動採番ルール「ORD-YYYYNNNN」に従ってください。</t>
  </si>
  <si>
    <t>仕入先別の発注・納品を管理。仕入No.は「PO-YYYYNNNN」ルールです。</t>
  </si>
  <si>
    <t>商品情報の一元管理。在庫状況は自動判定（適正/注意/要発注）。</t>
  </si>
  <si>
    <t>顧客情報と取引実績。ランクはA〜Dの4段階で管理。</t>
  </si>
  <si>
    <t>受注・仕入は発生の都度入力。売上は月末に締めて翌月3営業日以内に確定。</t>
  </si>
  <si>
    <t>毎月10日までに予算実績対比を確認し、経営会議で共有。</t>
  </si>
  <si>
    <t>赤/黄/緑の背景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</si>
</sst>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"/>
    <numFmt numFmtId="177" formatCode="0.0%"/>
    <numFmt numFmtId="178" formatCode="\+0.0%;\-0.0%"/>
  </numFmts>
  <fonts count="9" x14ac:knownFonts="1">
    <font>
      <sz val="11"/>
      <color theme="1"/>
      <name val="Calibri"/>
      <family val="2"/>
      <charset val="1"/>
    </font>
    <font>
      <b/>
      <sz val="14"/>
      <color rgb="FFFFFFFF"/>
      <name val="Noto Sans JP"/>
      <family val="3"/>
      <charset val="128"/>
    </font>
    <font>
      <sz val="11"/>
      <color theme="1"/>
      <name val="Noto Sans JP"/>
      <family val="3"/>
      <charset val="128"/>
    </font>
    <font>
      <b/>
      <sz val="11"/>
      <color rgb="FFFFFFFF"/>
      <name val="Noto Sans JP"/>
      <family val="3"/>
      <charset val="128"/>
    </font>
    <font>
      <sz val="10"/>
      <color rgb="FF1A1A2E"/>
      <name val="Noto Sans JP"/>
      <family val="3"/>
      <charset val="128"/>
    </font>
    <font>
      <b/>
      <sz val="10"/>
      <color rgb="FF1B3A5C"/>
      <name val="Noto Sans JP"/>
      <family val="3"/>
      <charset val="128"/>
    </font>
    <font>
      <sz val="6"/>
      <name val="ＭＳ Ｐゴシック"/>
      <family val="3"/>
      <charset val="128"/>
    </font>
    <font>
      <b/>
      <sz val="11"/>
      <color rgb="FF1B3A5C"/>
      <name val="Noto Sans JP"/>
      <family val="3"/>
      <charset val="128"/>
    </font>
    <font>
      <b/>
      <sz val="10"/>
      <color rgb="FF2E86AB"/>
      <name val="Noto Sans JP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1B3A5C"/>
        <bgColor rgb="FF333399"/>
      </patternFill>
    </fill>
    <fill>
      <patternFill patternType="solid">
        <fgColor rgb="FF2E86AB"/>
        <bgColor rgb="FF4A7EBB"/>
      </patternFill>
    </fill>
    <fill>
      <patternFill patternType="solid">
        <fgColor rgb="FFF5F5F5"/>
        <bgColor rgb="FFF9F9F9"/>
      </patternFill>
    </fill>
    <fill>
      <patternFill patternType="solid">
        <fgColor rgb="FFE8F1F8"/>
        <bgColor rgb="FFF5F5F5"/>
      </patternFill>
    </fill>
  </fills>
  <borders count="2">
    <border>
      <left/>
      <right/>
      <top/>
      <bottom/>
      <diagonal/>
    </border>
    <border>
      <left style="thin">
        <color rgb="FFD0D8E0"/>
      </left>
      <right style="thin">
        <color rgb="FFD0D8E0"/>
      </right>
      <top style="thin">
        <color rgb="FFD0D8E0"/>
      </top>
      <bottom style="thin">
        <color rgb="FFD0D8E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2" fillId="3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76" fontId="4" fillId="0" borderId="1" xfId="0" applyNumberFormat="1" applyFont="1" applyBorder="1"/>
    <xf numFmtId="3" fontId="4" fillId="0" borderId="1" xfId="0" applyNumberFormat="1" applyFont="1" applyBorder="1"/>
    <xf numFmtId="9" fontId="4" fillId="0" borderId="1" xfId="0" applyNumberFormat="1" applyFont="1" applyBorder="1"/>
    <xf numFmtId="0" fontId="4" fillId="4" borderId="1" xfId="0" applyFont="1" applyFill="1" applyBorder="1"/>
    <xf numFmtId="176" fontId="4" fillId="4" borderId="1" xfId="0" applyNumberFormat="1" applyFont="1" applyFill="1" applyBorder="1"/>
    <xf numFmtId="3" fontId="4" fillId="4" borderId="1" xfId="0" applyNumberFormat="1" applyFont="1" applyFill="1" applyBorder="1"/>
    <xf numFmtId="9" fontId="4" fillId="4" borderId="1" xfId="0" applyNumberFormat="1" applyFont="1" applyFill="1" applyBorder="1"/>
    <xf numFmtId="0" fontId="5" fillId="5" borderId="1" xfId="0" applyFont="1" applyFill="1" applyBorder="1"/>
    <xf numFmtId="3" fontId="5" fillId="5" borderId="1" xfId="0" applyNumberFormat="1" applyFont="1" applyFill="1" applyBorder="1"/>
    <xf numFmtId="177" fontId="4" fillId="0" borderId="1" xfId="0" applyNumberFormat="1" applyFont="1" applyBorder="1"/>
    <xf numFmtId="177" fontId="4" fillId="4" borderId="1" xfId="0" applyNumberFormat="1" applyFont="1" applyFill="1" applyBorder="1"/>
    <xf numFmtId="178" fontId="4" fillId="4" borderId="1" xfId="0" applyNumberFormat="1" applyFont="1" applyFill="1" applyBorder="1"/>
    <xf numFmtId="178" fontId="4" fillId="0" borderId="1" xfId="0" applyNumberFormat="1" applyFont="1" applyBorder="1"/>
    <xf numFmtId="177" fontId="5" fillId="5" borderId="1" xfId="0" applyNumberFormat="1" applyFont="1" applyFill="1" applyBorder="1"/>
    <xf numFmtId="0" fontId="5" fillId="0" borderId="1" xfId="0" applyFont="1" applyBorder="1"/>
    <xf numFmtId="0" fontId="5" fillId="4" borderId="1" xfId="0" applyFont="1" applyFill="1" applyBorder="1"/>
    <xf numFmtId="0" fontId="7" fillId="0" borderId="0" xfId="0" applyFont="1"/>
    <xf numFmtId="0" fontId="8" fillId="0" borderId="0" xfId="0" applyFont="1"/>
    <xf numFmtId="0" fontId="4" fillId="0" borderId="0" xfId="0" applyFont="1" applyAlignment="1">
      <alignment wrapText="1"/>
    </xf>
  </cellXfs>
  <cellStyles count="1">
    <cellStyle name="標準" xfId="0" builtinId="0"/>
  </cellStyles>
  <dxfs count="5">
    <dxf>
      <font>
        <b/>
        <color rgb="FFCC0000"/>
      </font>
    </dxf>
    <dxf>
      <font>
        <b/>
        <color rgb="FF155724"/>
      </font>
    </dxf>
    <dxf>
      <font>
        <b/>
        <color rgb="FF155724"/>
      </font>
      <fill>
        <patternFill>
          <bgColor rgb="FFD4EDDA"/>
        </patternFill>
      </fill>
    </dxf>
    <dxf>
      <font>
        <b/>
        <color rgb="FF856404"/>
      </font>
      <fill>
        <patternFill>
          <bgColor rgb="FFFFF3CD"/>
        </patternFill>
      </fill>
    </dxf>
    <dxf>
      <font>
        <b/>
        <color rgb="FFCC0000"/>
      </font>
      <fill>
        <patternFill>
          <bgColor rgb="FFFF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6404"/>
      <rgbColor rgb="FF800080"/>
      <rgbColor rgb="FF2E86AB"/>
      <rgbColor rgb="FFD9D9D9"/>
      <rgbColor rgb="FF878787"/>
      <rgbColor rgb="FF9999FF"/>
      <rgbColor rgb="FF8E44AD"/>
      <rgbColor rgb="FFFFF3CD"/>
      <rgbColor rgb="FFE8F1F8"/>
      <rgbColor rgb="FF660066"/>
      <rgbColor rgb="FFFF8080"/>
      <rgbColor rgb="FF0066CC"/>
      <rgbColor rgb="FFD0D8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4EDDA"/>
      <rgbColor rgb="FFF9F9F9"/>
      <rgbColor rgb="FF99CCFF"/>
      <rgbColor rgb="FFFF99CC"/>
      <rgbColor rgb="FFCC99FF"/>
      <rgbColor rgb="FFFFCCCC"/>
      <rgbColor rgb="FF4F81BD"/>
      <rgbColor rgb="FF33CCCC"/>
      <rgbColor rgb="FF9BBB59"/>
      <rgbColor rgb="FFFFCC00"/>
      <rgbColor rgb="FFF39C12"/>
      <rgbColor rgb="FFE74C3C"/>
      <rgbColor rgb="FF4A7EBB"/>
      <rgbColor rgb="FF95A5A6"/>
      <rgbColor rgb="FF1B3A5C"/>
      <rgbColor rgb="FF27AE60"/>
      <rgbColor rgb="FF155724"/>
      <rgbColor rgb="FF333300"/>
      <rgbColor rgb="FFC0504D"/>
      <rgbColor rgb="FFBE4B48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月別チャネル別売上推移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売上管理!$B$3</c:f>
              <c:strCache>
                <c:ptCount val="1"/>
                <c:pt idx="0">
                  <c:v>EC売上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売上管理!$A$4:$A$15</c:f>
              <c:strCache>
                <c:ptCount val="12"/>
                <c:pt idx="0">
                  <c:v>2025/01</c:v>
                </c:pt>
                <c:pt idx="1">
                  <c:v>2025/02</c:v>
                </c:pt>
                <c:pt idx="2">
                  <c:v>2025/03</c:v>
                </c:pt>
                <c:pt idx="3">
                  <c:v>2025/04</c:v>
                </c:pt>
                <c:pt idx="4">
                  <c:v>2025/05</c:v>
                </c:pt>
                <c:pt idx="5">
                  <c:v>2025/06</c:v>
                </c:pt>
                <c:pt idx="6">
                  <c:v>2025/07</c:v>
                </c:pt>
                <c:pt idx="7">
                  <c:v>2025/08</c:v>
                </c:pt>
                <c:pt idx="8">
                  <c:v>2025/09</c:v>
                </c:pt>
                <c:pt idx="9">
                  <c:v>2025/10</c:v>
                </c:pt>
                <c:pt idx="10">
                  <c:v>2025/11</c:v>
                </c:pt>
                <c:pt idx="11">
                  <c:v>2025/12</c:v>
                </c:pt>
              </c:strCache>
            </c:strRef>
          </c:cat>
          <c:val>
            <c:numRef>
              <c:f>売上管理!$B$4:$B$15</c:f>
              <c:numCache>
                <c:formatCode>#,##0</c:formatCode>
                <c:ptCount val="12"/>
                <c:pt idx="0">
                  <c:v>1850000</c:v>
                </c:pt>
                <c:pt idx="1">
                  <c:v>1720000</c:v>
                </c:pt>
                <c:pt idx="2">
                  <c:v>2100000</c:v>
                </c:pt>
                <c:pt idx="3">
                  <c:v>1980000</c:v>
                </c:pt>
                <c:pt idx="4">
                  <c:v>2250000</c:v>
                </c:pt>
                <c:pt idx="5">
                  <c:v>2380000</c:v>
                </c:pt>
                <c:pt idx="6">
                  <c:v>2650000</c:v>
                </c:pt>
                <c:pt idx="7">
                  <c:v>2800000</c:v>
                </c:pt>
                <c:pt idx="8">
                  <c:v>2450000</c:v>
                </c:pt>
                <c:pt idx="9">
                  <c:v>2300000</c:v>
                </c:pt>
                <c:pt idx="10">
                  <c:v>2550000</c:v>
                </c:pt>
                <c:pt idx="11">
                  <c:v>3100000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04-46A9-8D1F-35769DD7A4FF}"/>
            </c:ext>
          </c:extLst>
        </c:ser>
        <c:ser>
          <c:idx val="1"/>
          <c:order val="1"/>
          <c:tx>
            <c:strRef>
              <c:f>売上管理!$C$3</c:f>
              <c:strCache>
                <c:ptCount val="1"/>
                <c:pt idx="0">
                  <c:v>実店舗売上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売上管理!$A$4:$A$15</c:f>
              <c:strCache>
                <c:ptCount val="12"/>
                <c:pt idx="0">
                  <c:v>2025/01</c:v>
                </c:pt>
                <c:pt idx="1">
                  <c:v>2025/02</c:v>
                </c:pt>
                <c:pt idx="2">
                  <c:v>2025/03</c:v>
                </c:pt>
                <c:pt idx="3">
                  <c:v>2025/04</c:v>
                </c:pt>
                <c:pt idx="4">
                  <c:v>2025/05</c:v>
                </c:pt>
                <c:pt idx="5">
                  <c:v>2025/06</c:v>
                </c:pt>
                <c:pt idx="6">
                  <c:v>2025/07</c:v>
                </c:pt>
                <c:pt idx="7">
                  <c:v>2025/08</c:v>
                </c:pt>
                <c:pt idx="8">
                  <c:v>2025/09</c:v>
                </c:pt>
                <c:pt idx="9">
                  <c:v>2025/10</c:v>
                </c:pt>
                <c:pt idx="10">
                  <c:v>2025/11</c:v>
                </c:pt>
                <c:pt idx="11">
                  <c:v>2025/12</c:v>
                </c:pt>
              </c:strCache>
            </c:strRef>
          </c:cat>
          <c:val>
            <c:numRef>
              <c:f>売上管理!$C$4:$C$15</c:f>
              <c:numCache>
                <c:formatCode>#,##0</c:formatCode>
                <c:ptCount val="12"/>
                <c:pt idx="0">
                  <c:v>920000</c:v>
                </c:pt>
                <c:pt idx="1">
                  <c:v>880000</c:v>
                </c:pt>
                <c:pt idx="2">
                  <c:v>1050000</c:v>
                </c:pt>
                <c:pt idx="3">
                  <c:v>960000</c:v>
                </c:pt>
                <c:pt idx="4">
                  <c:v>1100000</c:v>
                </c:pt>
                <c:pt idx="5">
                  <c:v>1180000</c:v>
                </c:pt>
                <c:pt idx="6">
                  <c:v>1300000</c:v>
                </c:pt>
                <c:pt idx="7">
                  <c:v>1400000</c:v>
                </c:pt>
                <c:pt idx="8">
                  <c:v>1200000</c:v>
                </c:pt>
                <c:pt idx="9">
                  <c:v>1150000</c:v>
                </c:pt>
                <c:pt idx="10">
                  <c:v>1280000</c:v>
                </c:pt>
                <c:pt idx="11">
                  <c:v>1550000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04-46A9-8D1F-35769DD7A4FF}"/>
            </c:ext>
          </c:extLst>
        </c:ser>
        <c:ser>
          <c:idx val="2"/>
          <c:order val="2"/>
          <c:tx>
            <c:strRef>
              <c:f>売上管理!$D$3</c:f>
              <c:strCache>
                <c:ptCount val="1"/>
                <c:pt idx="0">
                  <c:v>卸売売上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売上管理!$A$4:$A$15</c:f>
              <c:strCache>
                <c:ptCount val="12"/>
                <c:pt idx="0">
                  <c:v>2025/01</c:v>
                </c:pt>
                <c:pt idx="1">
                  <c:v>2025/02</c:v>
                </c:pt>
                <c:pt idx="2">
                  <c:v>2025/03</c:v>
                </c:pt>
                <c:pt idx="3">
                  <c:v>2025/04</c:v>
                </c:pt>
                <c:pt idx="4">
                  <c:v>2025/05</c:v>
                </c:pt>
                <c:pt idx="5">
                  <c:v>2025/06</c:v>
                </c:pt>
                <c:pt idx="6">
                  <c:v>2025/07</c:v>
                </c:pt>
                <c:pt idx="7">
                  <c:v>2025/08</c:v>
                </c:pt>
                <c:pt idx="8">
                  <c:v>2025/09</c:v>
                </c:pt>
                <c:pt idx="9">
                  <c:v>2025/10</c:v>
                </c:pt>
                <c:pt idx="10">
                  <c:v>2025/11</c:v>
                </c:pt>
                <c:pt idx="11">
                  <c:v>2025/12</c:v>
                </c:pt>
              </c:strCache>
            </c:strRef>
          </c:cat>
          <c:val>
            <c:numRef>
              <c:f>売上管理!$D$4:$D$15</c:f>
              <c:numCache>
                <c:formatCode>#,##0</c:formatCode>
                <c:ptCount val="12"/>
                <c:pt idx="0">
                  <c:v>1200000</c:v>
                </c:pt>
                <c:pt idx="1">
                  <c:v>1150000</c:v>
                </c:pt>
                <c:pt idx="2">
                  <c:v>1380000</c:v>
                </c:pt>
                <c:pt idx="3">
                  <c:v>1250000</c:v>
                </c:pt>
                <c:pt idx="4">
                  <c:v>1420000</c:v>
                </c:pt>
                <c:pt idx="5">
                  <c:v>1500000</c:v>
                </c:pt>
                <c:pt idx="6">
                  <c:v>1650000</c:v>
                </c:pt>
                <c:pt idx="7">
                  <c:v>1750000</c:v>
                </c:pt>
                <c:pt idx="8">
                  <c:v>1550000</c:v>
                </c:pt>
                <c:pt idx="9">
                  <c:v>1480000</c:v>
                </c:pt>
                <c:pt idx="10">
                  <c:v>1600000</c:v>
                </c:pt>
                <c:pt idx="11">
                  <c:v>1900000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04-46A9-8D1F-35769DD7A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872273"/>
        <c:axId val="2617531"/>
      </c:barChart>
      <c:catAx>
        <c:axId val="408722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月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2617531"/>
        <c:crosses val="autoZero"/>
        <c:auto val="1"/>
        <c:lblAlgn val="ctr"/>
        <c:lblOffset val="100"/>
        <c:noMultiLvlLbl val="0"/>
      </c:catAx>
      <c:valAx>
        <c:axId val="26175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売上（円）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408722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粗利率・営業利益率推移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売上管理!$H$3</c:f>
              <c:strCache>
                <c:ptCount val="1"/>
                <c:pt idx="0">
                  <c:v>粗利率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売上管理!$A$4:$A$15</c:f>
              <c:strCache>
                <c:ptCount val="12"/>
                <c:pt idx="0">
                  <c:v>2025/01</c:v>
                </c:pt>
                <c:pt idx="1">
                  <c:v>2025/02</c:v>
                </c:pt>
                <c:pt idx="2">
                  <c:v>2025/03</c:v>
                </c:pt>
                <c:pt idx="3">
                  <c:v>2025/04</c:v>
                </c:pt>
                <c:pt idx="4">
                  <c:v>2025/05</c:v>
                </c:pt>
                <c:pt idx="5">
                  <c:v>2025/06</c:v>
                </c:pt>
                <c:pt idx="6">
                  <c:v>2025/07</c:v>
                </c:pt>
                <c:pt idx="7">
                  <c:v>2025/08</c:v>
                </c:pt>
                <c:pt idx="8">
                  <c:v>2025/09</c:v>
                </c:pt>
                <c:pt idx="9">
                  <c:v>2025/10</c:v>
                </c:pt>
                <c:pt idx="10">
                  <c:v>2025/11</c:v>
                </c:pt>
                <c:pt idx="11">
                  <c:v>2025/12</c:v>
                </c:pt>
              </c:strCache>
            </c:strRef>
          </c:cat>
          <c:val>
            <c:numRef>
              <c:f>売上管理!$H$4:$H$15</c:f>
              <c:numCache>
                <c:formatCode>0.0%</c:formatCode>
                <c:ptCount val="12"/>
                <c:pt idx="0">
                  <c:v>0.42</c:v>
                </c:pt>
                <c:pt idx="1">
                  <c:v>0.42</c:v>
                </c:pt>
                <c:pt idx="2">
                  <c:v>0.42</c:v>
                </c:pt>
                <c:pt idx="3">
                  <c:v>0.42</c:v>
                </c:pt>
                <c:pt idx="4">
                  <c:v>0.42</c:v>
                </c:pt>
                <c:pt idx="5">
                  <c:v>0.42</c:v>
                </c:pt>
                <c:pt idx="6">
                  <c:v>0.42</c:v>
                </c:pt>
                <c:pt idx="7">
                  <c:v>0.42</c:v>
                </c:pt>
                <c:pt idx="8">
                  <c:v>0.42</c:v>
                </c:pt>
                <c:pt idx="9">
                  <c:v>0.42</c:v>
                </c:pt>
                <c:pt idx="10">
                  <c:v>0.42</c:v>
                </c:pt>
                <c:pt idx="11">
                  <c:v>0.42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C08-43B4-ABB3-0FF5DC9CA327}"/>
            </c:ext>
          </c:extLst>
        </c:ser>
        <c:ser>
          <c:idx val="1"/>
          <c:order val="1"/>
          <c:tx>
            <c:strRef>
              <c:f>売上管理!$K$3</c:f>
              <c:strCache>
                <c:ptCount val="1"/>
                <c:pt idx="0">
                  <c:v>営業利益率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売上管理!$A$4:$A$15</c:f>
              <c:strCache>
                <c:ptCount val="12"/>
                <c:pt idx="0">
                  <c:v>2025/01</c:v>
                </c:pt>
                <c:pt idx="1">
                  <c:v>2025/02</c:v>
                </c:pt>
                <c:pt idx="2">
                  <c:v>2025/03</c:v>
                </c:pt>
                <c:pt idx="3">
                  <c:v>2025/04</c:v>
                </c:pt>
                <c:pt idx="4">
                  <c:v>2025/05</c:v>
                </c:pt>
                <c:pt idx="5">
                  <c:v>2025/06</c:v>
                </c:pt>
                <c:pt idx="6">
                  <c:v>2025/07</c:v>
                </c:pt>
                <c:pt idx="7">
                  <c:v>2025/08</c:v>
                </c:pt>
                <c:pt idx="8">
                  <c:v>2025/09</c:v>
                </c:pt>
                <c:pt idx="9">
                  <c:v>2025/10</c:v>
                </c:pt>
                <c:pt idx="10">
                  <c:v>2025/11</c:v>
                </c:pt>
                <c:pt idx="11">
                  <c:v>2025/12</c:v>
                </c:pt>
              </c:strCache>
            </c:strRef>
          </c:cat>
          <c:val>
            <c:numRef>
              <c:f>売上管理!$K$4:$K$15</c:f>
              <c:numCache>
                <c:formatCode>0.0%</c:formatCode>
                <c:ptCount val="12"/>
                <c:pt idx="0">
                  <c:v>0.17</c:v>
                </c:pt>
                <c:pt idx="1">
                  <c:v>0.17</c:v>
                </c:pt>
                <c:pt idx="2">
                  <c:v>0.17</c:v>
                </c:pt>
                <c:pt idx="3">
                  <c:v>0.17</c:v>
                </c:pt>
                <c:pt idx="4">
                  <c:v>0.17</c:v>
                </c:pt>
                <c:pt idx="5">
                  <c:v>0.17</c:v>
                </c:pt>
                <c:pt idx="6">
                  <c:v>0.17</c:v>
                </c:pt>
                <c:pt idx="7">
                  <c:v>0.17</c:v>
                </c:pt>
                <c:pt idx="8">
                  <c:v>0.17</c:v>
                </c:pt>
                <c:pt idx="9">
                  <c:v>0.17</c:v>
                </c:pt>
                <c:pt idx="10">
                  <c:v>0.17</c:v>
                </c:pt>
                <c:pt idx="11">
                  <c:v>0.17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C08-43B4-ABB3-0FF5DC9CA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5119018"/>
        <c:axId val="91600276"/>
      </c:lineChart>
      <c:catAx>
        <c:axId val="451190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91600276"/>
        <c:crosses val="autoZero"/>
        <c:auto val="1"/>
        <c:lblAlgn val="ctr"/>
        <c:lblOffset val="100"/>
        <c:noMultiLvlLbl val="0"/>
      </c:catAx>
      <c:valAx>
        <c:axId val="916002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比率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451190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79200</xdr:rowOff>
    </xdr:from>
    <xdr:to>
      <xdr:col>8</xdr:col>
      <xdr:colOff>448200</xdr:colOff>
      <xdr:row>37</xdr:row>
      <xdr:rowOff>186840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37</xdr:row>
      <xdr:rowOff>165285</xdr:rowOff>
    </xdr:from>
    <xdr:to>
      <xdr:col>8</xdr:col>
      <xdr:colOff>448200</xdr:colOff>
      <xdr:row>58</xdr:row>
      <xdr:rowOff>44325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A1:N34"/>
  <sheetViews>
    <sheetView tabSelected="1" zoomScaleNormal="100" workbookViewId="0">
      <pane ySplit="3" topLeftCell="A4" activePane="bottomLeft" state="frozen"/>
      <selection pane="bottomLeft" activeCell="V19" sqref="V19"/>
    </sheetView>
  </sheetViews>
  <sheetFormatPr defaultColWidth="8.7109375" defaultRowHeight="18" x14ac:dyDescent="0.35"/>
  <cols>
    <col min="1" max="1" width="14" style="2" customWidth="1"/>
    <col min="2" max="2" width="13" style="2" customWidth="1"/>
    <col min="3" max="3" width="14" style="2" customWidth="1"/>
    <col min="4" max="4" width="10" style="2" customWidth="1"/>
    <col min="5" max="5" width="13" style="2" customWidth="1"/>
    <col min="6" max="6" width="12" style="2" customWidth="1"/>
    <col min="7" max="7" width="20" style="2" customWidth="1"/>
    <col min="8" max="8" width="8" style="2" customWidth="1"/>
    <col min="9" max="10" width="13" style="2" customWidth="1"/>
    <col min="11" max="11" width="8" style="2" customWidth="1"/>
    <col min="12" max="12" width="10" style="2" customWidth="1"/>
    <col min="13" max="14" width="13" style="2" customWidth="1"/>
    <col min="15" max="16384" width="8.7109375" style="2"/>
  </cols>
  <sheetData>
    <row r="1" spans="1:14" ht="21.6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.75" customHeight="1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36" x14ac:dyDescent="0.35">
      <c r="A3" s="4" t="s">
        <v>244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</row>
    <row r="4" spans="1:14" x14ac:dyDescent="0.35">
      <c r="A4" s="5" t="s">
        <v>14</v>
      </c>
      <c r="B4" s="6">
        <v>45683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245</v>
      </c>
      <c r="H4" s="5">
        <v>17</v>
      </c>
      <c r="I4" s="7">
        <v>2400</v>
      </c>
      <c r="J4" s="7">
        <f t="shared" ref="J4:J33" si="0">H4*I4</f>
        <v>40800</v>
      </c>
      <c r="K4" s="8">
        <v>0.1</v>
      </c>
      <c r="L4" s="7">
        <f t="shared" ref="L4:L33" si="1">J4*K4</f>
        <v>4080</v>
      </c>
      <c r="M4" s="7">
        <f t="shared" ref="M4:M33" si="2">J4+L4</f>
        <v>44880</v>
      </c>
      <c r="N4" s="5" t="s">
        <v>19</v>
      </c>
    </row>
    <row r="5" spans="1:14" x14ac:dyDescent="0.35">
      <c r="A5" s="9" t="s">
        <v>20</v>
      </c>
      <c r="B5" s="10">
        <v>45700</v>
      </c>
      <c r="C5" s="9" t="s">
        <v>246</v>
      </c>
      <c r="D5" s="9" t="s">
        <v>21</v>
      </c>
      <c r="E5" s="9" t="s">
        <v>17</v>
      </c>
      <c r="F5" s="9" t="s">
        <v>22</v>
      </c>
      <c r="G5" s="9" t="s">
        <v>247</v>
      </c>
      <c r="H5" s="9">
        <v>7</v>
      </c>
      <c r="I5" s="11">
        <v>1200</v>
      </c>
      <c r="J5" s="11">
        <f t="shared" si="0"/>
        <v>8400</v>
      </c>
      <c r="K5" s="12">
        <v>0.1</v>
      </c>
      <c r="L5" s="11">
        <f t="shared" si="1"/>
        <v>840</v>
      </c>
      <c r="M5" s="11">
        <f t="shared" si="2"/>
        <v>9240</v>
      </c>
      <c r="N5" s="9" t="s">
        <v>23</v>
      </c>
    </row>
    <row r="6" spans="1:14" x14ac:dyDescent="0.35">
      <c r="A6" s="5" t="s">
        <v>24</v>
      </c>
      <c r="B6" s="6">
        <v>45673</v>
      </c>
      <c r="C6" s="5" t="s">
        <v>246</v>
      </c>
      <c r="D6" s="5" t="s">
        <v>21</v>
      </c>
      <c r="E6" s="5" t="s">
        <v>17</v>
      </c>
      <c r="F6" s="5" t="s">
        <v>25</v>
      </c>
      <c r="G6" s="5" t="s">
        <v>248</v>
      </c>
      <c r="H6" s="5">
        <v>14</v>
      </c>
      <c r="I6" s="7">
        <v>800</v>
      </c>
      <c r="J6" s="7">
        <f t="shared" si="0"/>
        <v>11200</v>
      </c>
      <c r="K6" s="8">
        <v>0.1</v>
      </c>
      <c r="L6" s="7">
        <f t="shared" si="1"/>
        <v>1120</v>
      </c>
      <c r="M6" s="7">
        <f t="shared" si="2"/>
        <v>12320</v>
      </c>
      <c r="N6" s="5" t="s">
        <v>23</v>
      </c>
    </row>
    <row r="7" spans="1:14" x14ac:dyDescent="0.35">
      <c r="A7" s="9" t="s">
        <v>26</v>
      </c>
      <c r="B7" s="10">
        <v>45675</v>
      </c>
      <c r="C7" s="9" t="s">
        <v>27</v>
      </c>
      <c r="D7" s="9" t="s">
        <v>16</v>
      </c>
      <c r="E7" s="9" t="s">
        <v>28</v>
      </c>
      <c r="F7" s="9" t="s">
        <v>29</v>
      </c>
      <c r="G7" s="9" t="s">
        <v>249</v>
      </c>
      <c r="H7" s="9">
        <v>12</v>
      </c>
      <c r="I7" s="11">
        <v>1500</v>
      </c>
      <c r="J7" s="11">
        <f t="shared" si="0"/>
        <v>18000</v>
      </c>
      <c r="K7" s="12">
        <v>0.1</v>
      </c>
      <c r="L7" s="11">
        <f t="shared" si="1"/>
        <v>1800</v>
      </c>
      <c r="M7" s="11">
        <f t="shared" si="2"/>
        <v>19800</v>
      </c>
      <c r="N7" s="9" t="s">
        <v>30</v>
      </c>
    </row>
    <row r="8" spans="1:14" x14ac:dyDescent="0.35">
      <c r="A8" s="5" t="s">
        <v>31</v>
      </c>
      <c r="B8" s="6">
        <v>45670</v>
      </c>
      <c r="C8" s="5" t="s">
        <v>32</v>
      </c>
      <c r="D8" s="5" t="s">
        <v>16</v>
      </c>
      <c r="E8" s="5" t="s">
        <v>17</v>
      </c>
      <c r="F8" s="5" t="s">
        <v>33</v>
      </c>
      <c r="G8" s="5" t="s">
        <v>250</v>
      </c>
      <c r="H8" s="5">
        <v>5</v>
      </c>
      <c r="I8" s="7">
        <v>1800</v>
      </c>
      <c r="J8" s="7">
        <f t="shared" si="0"/>
        <v>9000</v>
      </c>
      <c r="K8" s="8">
        <v>0.1</v>
      </c>
      <c r="L8" s="7">
        <f t="shared" si="1"/>
        <v>900</v>
      </c>
      <c r="M8" s="7">
        <f t="shared" si="2"/>
        <v>9900</v>
      </c>
      <c r="N8" s="5" t="s">
        <v>23</v>
      </c>
    </row>
    <row r="9" spans="1:14" x14ac:dyDescent="0.35">
      <c r="A9" s="9" t="s">
        <v>34</v>
      </c>
      <c r="B9" s="10">
        <v>45682</v>
      </c>
      <c r="C9" s="9" t="s">
        <v>32</v>
      </c>
      <c r="D9" s="9" t="s">
        <v>16</v>
      </c>
      <c r="E9" s="9" t="s">
        <v>35</v>
      </c>
      <c r="F9" s="9" t="s">
        <v>33</v>
      </c>
      <c r="G9" s="9" t="s">
        <v>250</v>
      </c>
      <c r="H9" s="9">
        <v>14</v>
      </c>
      <c r="I9" s="11">
        <v>1800</v>
      </c>
      <c r="J9" s="11">
        <f t="shared" si="0"/>
        <v>25200</v>
      </c>
      <c r="K9" s="12">
        <v>0.1</v>
      </c>
      <c r="L9" s="11">
        <f t="shared" si="1"/>
        <v>2520</v>
      </c>
      <c r="M9" s="11">
        <f t="shared" si="2"/>
        <v>27720</v>
      </c>
      <c r="N9" s="9" t="s">
        <v>36</v>
      </c>
    </row>
    <row r="10" spans="1:14" x14ac:dyDescent="0.35">
      <c r="A10" s="5" t="s">
        <v>37</v>
      </c>
      <c r="B10" s="6">
        <v>45684</v>
      </c>
      <c r="C10" s="5" t="s">
        <v>15</v>
      </c>
      <c r="D10" s="5" t="s">
        <v>16</v>
      </c>
      <c r="E10" s="5" t="s">
        <v>28</v>
      </c>
      <c r="F10" s="5" t="s">
        <v>38</v>
      </c>
      <c r="G10" s="5" t="s">
        <v>251</v>
      </c>
      <c r="H10" s="5">
        <v>10</v>
      </c>
      <c r="I10" s="7">
        <v>650</v>
      </c>
      <c r="J10" s="7">
        <f t="shared" si="0"/>
        <v>6500</v>
      </c>
      <c r="K10" s="8">
        <v>0.1</v>
      </c>
      <c r="L10" s="7">
        <f t="shared" si="1"/>
        <v>650</v>
      </c>
      <c r="M10" s="7">
        <f t="shared" si="2"/>
        <v>7150</v>
      </c>
      <c r="N10" s="5" t="s">
        <v>36</v>
      </c>
    </row>
    <row r="11" spans="1:14" x14ac:dyDescent="0.35">
      <c r="A11" s="9" t="s">
        <v>39</v>
      </c>
      <c r="B11" s="10">
        <v>45716</v>
      </c>
      <c r="C11" s="9" t="s">
        <v>40</v>
      </c>
      <c r="D11" s="9" t="s">
        <v>16</v>
      </c>
      <c r="E11" s="9" t="s">
        <v>35</v>
      </c>
      <c r="F11" s="9" t="s">
        <v>41</v>
      </c>
      <c r="G11" s="9" t="s">
        <v>252</v>
      </c>
      <c r="H11" s="9">
        <v>2</v>
      </c>
      <c r="I11" s="11">
        <v>1100</v>
      </c>
      <c r="J11" s="11">
        <f t="shared" si="0"/>
        <v>2200</v>
      </c>
      <c r="K11" s="12">
        <v>0.1</v>
      </c>
      <c r="L11" s="11">
        <f t="shared" si="1"/>
        <v>220</v>
      </c>
      <c r="M11" s="11">
        <f t="shared" si="2"/>
        <v>2420</v>
      </c>
      <c r="N11" s="9" t="s">
        <v>30</v>
      </c>
    </row>
    <row r="12" spans="1:14" x14ac:dyDescent="0.35">
      <c r="A12" s="5" t="s">
        <v>42</v>
      </c>
      <c r="B12" s="6">
        <v>45713</v>
      </c>
      <c r="C12" s="5" t="s">
        <v>32</v>
      </c>
      <c r="D12" s="5" t="s">
        <v>16</v>
      </c>
      <c r="E12" s="5" t="s">
        <v>28</v>
      </c>
      <c r="F12" s="5" t="s">
        <v>43</v>
      </c>
      <c r="G12" s="5" t="s">
        <v>253</v>
      </c>
      <c r="H12" s="5">
        <v>12</v>
      </c>
      <c r="I12" s="7">
        <v>980</v>
      </c>
      <c r="J12" s="7">
        <f t="shared" si="0"/>
        <v>11760</v>
      </c>
      <c r="K12" s="8">
        <v>0.1</v>
      </c>
      <c r="L12" s="7">
        <f t="shared" si="1"/>
        <v>1176</v>
      </c>
      <c r="M12" s="7">
        <f t="shared" si="2"/>
        <v>12936</v>
      </c>
      <c r="N12" s="5" t="s">
        <v>23</v>
      </c>
    </row>
    <row r="13" spans="1:14" x14ac:dyDescent="0.35">
      <c r="A13" s="9" t="s">
        <v>44</v>
      </c>
      <c r="B13" s="10">
        <v>45664</v>
      </c>
      <c r="C13" s="9" t="s">
        <v>15</v>
      </c>
      <c r="D13" s="9" t="s">
        <v>16</v>
      </c>
      <c r="E13" s="9" t="s">
        <v>28</v>
      </c>
      <c r="F13" s="9" t="s">
        <v>38</v>
      </c>
      <c r="G13" s="9" t="s">
        <v>251</v>
      </c>
      <c r="H13" s="9">
        <v>16</v>
      </c>
      <c r="I13" s="11">
        <v>650</v>
      </c>
      <c r="J13" s="11">
        <f t="shared" si="0"/>
        <v>10400</v>
      </c>
      <c r="K13" s="12">
        <v>0.1</v>
      </c>
      <c r="L13" s="11">
        <f t="shared" si="1"/>
        <v>1040</v>
      </c>
      <c r="M13" s="11">
        <f t="shared" si="2"/>
        <v>11440</v>
      </c>
      <c r="N13" s="9" t="s">
        <v>19</v>
      </c>
    </row>
    <row r="14" spans="1:14" x14ac:dyDescent="0.35">
      <c r="A14" s="5" t="s">
        <v>45</v>
      </c>
      <c r="B14" s="6">
        <v>45697</v>
      </c>
      <c r="C14" s="5" t="s">
        <v>46</v>
      </c>
      <c r="D14" s="5" t="s">
        <v>16</v>
      </c>
      <c r="E14" s="5" t="s">
        <v>254</v>
      </c>
      <c r="F14" s="5" t="s">
        <v>41</v>
      </c>
      <c r="G14" s="5" t="s">
        <v>252</v>
      </c>
      <c r="H14" s="5">
        <v>4</v>
      </c>
      <c r="I14" s="7">
        <v>1100</v>
      </c>
      <c r="J14" s="7">
        <f t="shared" si="0"/>
        <v>4400</v>
      </c>
      <c r="K14" s="8">
        <v>0.1</v>
      </c>
      <c r="L14" s="7">
        <f t="shared" si="1"/>
        <v>440</v>
      </c>
      <c r="M14" s="7">
        <f t="shared" si="2"/>
        <v>4840</v>
      </c>
      <c r="N14" s="5" t="s">
        <v>23</v>
      </c>
    </row>
    <row r="15" spans="1:14" x14ac:dyDescent="0.35">
      <c r="A15" s="9" t="s">
        <v>47</v>
      </c>
      <c r="B15" s="10">
        <v>45663</v>
      </c>
      <c r="C15" s="9" t="s">
        <v>27</v>
      </c>
      <c r="D15" s="9" t="s">
        <v>16</v>
      </c>
      <c r="E15" s="9" t="s">
        <v>28</v>
      </c>
      <c r="F15" s="9" t="s">
        <v>18</v>
      </c>
      <c r="G15" s="9" t="s">
        <v>245</v>
      </c>
      <c r="H15" s="9">
        <v>10</v>
      </c>
      <c r="I15" s="11">
        <v>2400</v>
      </c>
      <c r="J15" s="11">
        <f t="shared" si="0"/>
        <v>24000</v>
      </c>
      <c r="K15" s="12">
        <v>0.1</v>
      </c>
      <c r="L15" s="11">
        <f t="shared" si="1"/>
        <v>2400</v>
      </c>
      <c r="M15" s="11">
        <f t="shared" si="2"/>
        <v>26400</v>
      </c>
      <c r="N15" s="9" t="s">
        <v>36</v>
      </c>
    </row>
    <row r="16" spans="1:14" x14ac:dyDescent="0.35">
      <c r="A16" s="5" t="s">
        <v>48</v>
      </c>
      <c r="B16" s="6">
        <v>45693</v>
      </c>
      <c r="C16" s="5" t="s">
        <v>255</v>
      </c>
      <c r="D16" s="5" t="s">
        <v>21</v>
      </c>
      <c r="E16" s="5" t="s">
        <v>254</v>
      </c>
      <c r="F16" s="5" t="s">
        <v>38</v>
      </c>
      <c r="G16" s="5" t="s">
        <v>251</v>
      </c>
      <c r="H16" s="5">
        <v>12</v>
      </c>
      <c r="I16" s="7">
        <v>650</v>
      </c>
      <c r="J16" s="7">
        <f t="shared" si="0"/>
        <v>7800</v>
      </c>
      <c r="K16" s="8">
        <v>0.1</v>
      </c>
      <c r="L16" s="7">
        <f t="shared" si="1"/>
        <v>780</v>
      </c>
      <c r="M16" s="7">
        <f t="shared" si="2"/>
        <v>8580</v>
      </c>
      <c r="N16" s="5" t="s">
        <v>36</v>
      </c>
    </row>
    <row r="17" spans="1:14" x14ac:dyDescent="0.35">
      <c r="A17" s="9" t="s">
        <v>49</v>
      </c>
      <c r="B17" s="10">
        <v>45718</v>
      </c>
      <c r="C17" s="9" t="s">
        <v>15</v>
      </c>
      <c r="D17" s="9" t="s">
        <v>16</v>
      </c>
      <c r="E17" s="9" t="s">
        <v>35</v>
      </c>
      <c r="F17" s="9" t="s">
        <v>43</v>
      </c>
      <c r="G17" s="9" t="s">
        <v>253</v>
      </c>
      <c r="H17" s="9">
        <v>19</v>
      </c>
      <c r="I17" s="11">
        <v>980</v>
      </c>
      <c r="J17" s="11">
        <f t="shared" si="0"/>
        <v>18620</v>
      </c>
      <c r="K17" s="12">
        <v>0.1</v>
      </c>
      <c r="L17" s="11">
        <f t="shared" si="1"/>
        <v>1862</v>
      </c>
      <c r="M17" s="11">
        <f t="shared" si="2"/>
        <v>20482</v>
      </c>
      <c r="N17" s="9" t="s">
        <v>19</v>
      </c>
    </row>
    <row r="18" spans="1:14" x14ac:dyDescent="0.35">
      <c r="A18" s="5" t="s">
        <v>50</v>
      </c>
      <c r="B18" s="6">
        <v>45723</v>
      </c>
      <c r="C18" s="5" t="s">
        <v>256</v>
      </c>
      <c r="D18" s="5" t="s">
        <v>21</v>
      </c>
      <c r="E18" s="5" t="s">
        <v>28</v>
      </c>
      <c r="F18" s="5" t="s">
        <v>43</v>
      </c>
      <c r="G18" s="5" t="s">
        <v>253</v>
      </c>
      <c r="H18" s="5">
        <v>18</v>
      </c>
      <c r="I18" s="7">
        <v>980</v>
      </c>
      <c r="J18" s="7">
        <f t="shared" si="0"/>
        <v>17640</v>
      </c>
      <c r="K18" s="8">
        <v>0.1</v>
      </c>
      <c r="L18" s="7">
        <f t="shared" si="1"/>
        <v>1764</v>
      </c>
      <c r="M18" s="7">
        <f t="shared" si="2"/>
        <v>19404</v>
      </c>
      <c r="N18" s="5" t="s">
        <v>36</v>
      </c>
    </row>
    <row r="19" spans="1:14" x14ac:dyDescent="0.35">
      <c r="A19" s="9" t="s">
        <v>51</v>
      </c>
      <c r="B19" s="10">
        <v>45664</v>
      </c>
      <c r="C19" s="9" t="s">
        <v>255</v>
      </c>
      <c r="D19" s="9" t="s">
        <v>21</v>
      </c>
      <c r="E19" s="9" t="s">
        <v>28</v>
      </c>
      <c r="F19" s="9" t="s">
        <v>18</v>
      </c>
      <c r="G19" s="9" t="s">
        <v>245</v>
      </c>
      <c r="H19" s="9">
        <v>16</v>
      </c>
      <c r="I19" s="11">
        <v>2400</v>
      </c>
      <c r="J19" s="11">
        <f t="shared" si="0"/>
        <v>38400</v>
      </c>
      <c r="K19" s="12">
        <v>0.1</v>
      </c>
      <c r="L19" s="11">
        <f t="shared" si="1"/>
        <v>3840</v>
      </c>
      <c r="M19" s="11">
        <f t="shared" si="2"/>
        <v>42240</v>
      </c>
      <c r="N19" s="9" t="s">
        <v>30</v>
      </c>
    </row>
    <row r="20" spans="1:14" x14ac:dyDescent="0.35">
      <c r="A20" s="5" t="s">
        <v>52</v>
      </c>
      <c r="B20" s="6">
        <v>45710</v>
      </c>
      <c r="C20" s="5" t="s">
        <v>40</v>
      </c>
      <c r="D20" s="5" t="s">
        <v>16</v>
      </c>
      <c r="E20" s="5" t="s">
        <v>17</v>
      </c>
      <c r="F20" s="5" t="s">
        <v>18</v>
      </c>
      <c r="G20" s="5" t="s">
        <v>245</v>
      </c>
      <c r="H20" s="5">
        <v>5</v>
      </c>
      <c r="I20" s="7">
        <v>2400</v>
      </c>
      <c r="J20" s="7">
        <f t="shared" si="0"/>
        <v>12000</v>
      </c>
      <c r="K20" s="8">
        <v>0.1</v>
      </c>
      <c r="L20" s="7">
        <f t="shared" si="1"/>
        <v>1200</v>
      </c>
      <c r="M20" s="7">
        <f t="shared" si="2"/>
        <v>13200</v>
      </c>
      <c r="N20" s="5" t="s">
        <v>53</v>
      </c>
    </row>
    <row r="21" spans="1:14" x14ac:dyDescent="0.35">
      <c r="A21" s="9" t="s">
        <v>54</v>
      </c>
      <c r="B21" s="10">
        <v>45700</v>
      </c>
      <c r="C21" s="9" t="s">
        <v>15</v>
      </c>
      <c r="D21" s="9" t="s">
        <v>16</v>
      </c>
      <c r="E21" s="9" t="s">
        <v>17</v>
      </c>
      <c r="F21" s="9" t="s">
        <v>43</v>
      </c>
      <c r="G21" s="9" t="s">
        <v>253</v>
      </c>
      <c r="H21" s="9">
        <v>20</v>
      </c>
      <c r="I21" s="11">
        <v>980</v>
      </c>
      <c r="J21" s="11">
        <f t="shared" si="0"/>
        <v>19600</v>
      </c>
      <c r="K21" s="12">
        <v>0.1</v>
      </c>
      <c r="L21" s="11">
        <f t="shared" si="1"/>
        <v>1960</v>
      </c>
      <c r="M21" s="11">
        <f t="shared" si="2"/>
        <v>21560</v>
      </c>
      <c r="N21" s="9" t="s">
        <v>30</v>
      </c>
    </row>
    <row r="22" spans="1:14" x14ac:dyDescent="0.35">
      <c r="A22" s="5" t="s">
        <v>55</v>
      </c>
      <c r="B22" s="6">
        <v>45709</v>
      </c>
      <c r="C22" s="5" t="s">
        <v>246</v>
      </c>
      <c r="D22" s="5" t="s">
        <v>21</v>
      </c>
      <c r="E22" s="5" t="s">
        <v>28</v>
      </c>
      <c r="F22" s="5" t="s">
        <v>25</v>
      </c>
      <c r="G22" s="5" t="s">
        <v>248</v>
      </c>
      <c r="H22" s="5">
        <v>17</v>
      </c>
      <c r="I22" s="7">
        <v>800</v>
      </c>
      <c r="J22" s="7">
        <f t="shared" si="0"/>
        <v>13600</v>
      </c>
      <c r="K22" s="8">
        <v>0.1</v>
      </c>
      <c r="L22" s="7">
        <f t="shared" si="1"/>
        <v>1360</v>
      </c>
      <c r="M22" s="7">
        <f t="shared" si="2"/>
        <v>14960</v>
      </c>
      <c r="N22" s="5" t="s">
        <v>19</v>
      </c>
    </row>
    <row r="23" spans="1:14" x14ac:dyDescent="0.35">
      <c r="A23" s="9" t="s">
        <v>56</v>
      </c>
      <c r="B23" s="10">
        <v>45723</v>
      </c>
      <c r="C23" s="9" t="s">
        <v>256</v>
      </c>
      <c r="D23" s="9" t="s">
        <v>21</v>
      </c>
      <c r="E23" s="9" t="s">
        <v>17</v>
      </c>
      <c r="F23" s="9" t="s">
        <v>18</v>
      </c>
      <c r="G23" s="9" t="s">
        <v>245</v>
      </c>
      <c r="H23" s="9">
        <v>19</v>
      </c>
      <c r="I23" s="11">
        <v>2400</v>
      </c>
      <c r="J23" s="11">
        <f t="shared" si="0"/>
        <v>45600</v>
      </c>
      <c r="K23" s="12">
        <v>0.1</v>
      </c>
      <c r="L23" s="11">
        <f t="shared" si="1"/>
        <v>4560</v>
      </c>
      <c r="M23" s="11">
        <f t="shared" si="2"/>
        <v>50160</v>
      </c>
      <c r="N23" s="9" t="s">
        <v>23</v>
      </c>
    </row>
    <row r="24" spans="1:14" x14ac:dyDescent="0.35">
      <c r="A24" s="5" t="s">
        <v>57</v>
      </c>
      <c r="B24" s="6">
        <v>45702</v>
      </c>
      <c r="C24" s="5" t="s">
        <v>256</v>
      </c>
      <c r="D24" s="5" t="s">
        <v>21</v>
      </c>
      <c r="E24" s="5" t="s">
        <v>254</v>
      </c>
      <c r="F24" s="5" t="s">
        <v>25</v>
      </c>
      <c r="G24" s="5" t="s">
        <v>248</v>
      </c>
      <c r="H24" s="5">
        <v>10</v>
      </c>
      <c r="I24" s="7">
        <v>800</v>
      </c>
      <c r="J24" s="7">
        <f t="shared" si="0"/>
        <v>8000</v>
      </c>
      <c r="K24" s="8">
        <v>0.1</v>
      </c>
      <c r="L24" s="7">
        <f t="shared" si="1"/>
        <v>800</v>
      </c>
      <c r="M24" s="7">
        <f t="shared" si="2"/>
        <v>8800</v>
      </c>
      <c r="N24" s="5" t="s">
        <v>19</v>
      </c>
    </row>
    <row r="25" spans="1:14" x14ac:dyDescent="0.35">
      <c r="A25" s="9" t="s">
        <v>58</v>
      </c>
      <c r="B25" s="10">
        <v>45701</v>
      </c>
      <c r="C25" s="9" t="s">
        <v>32</v>
      </c>
      <c r="D25" s="9" t="s">
        <v>16</v>
      </c>
      <c r="E25" s="9" t="s">
        <v>254</v>
      </c>
      <c r="F25" s="9" t="s">
        <v>29</v>
      </c>
      <c r="G25" s="9" t="s">
        <v>249</v>
      </c>
      <c r="H25" s="9">
        <v>9</v>
      </c>
      <c r="I25" s="11">
        <v>1500</v>
      </c>
      <c r="J25" s="11">
        <f t="shared" si="0"/>
        <v>13500</v>
      </c>
      <c r="K25" s="12">
        <v>0.1</v>
      </c>
      <c r="L25" s="11">
        <f t="shared" si="1"/>
        <v>1350</v>
      </c>
      <c r="M25" s="11">
        <f t="shared" si="2"/>
        <v>14850</v>
      </c>
      <c r="N25" s="9" t="s">
        <v>30</v>
      </c>
    </row>
    <row r="26" spans="1:14" x14ac:dyDescent="0.35">
      <c r="A26" s="5" t="s">
        <v>59</v>
      </c>
      <c r="B26" s="6">
        <v>45685</v>
      </c>
      <c r="C26" s="5" t="s">
        <v>256</v>
      </c>
      <c r="D26" s="5" t="s">
        <v>21</v>
      </c>
      <c r="E26" s="5" t="s">
        <v>17</v>
      </c>
      <c r="F26" s="5" t="s">
        <v>41</v>
      </c>
      <c r="G26" s="5" t="s">
        <v>252</v>
      </c>
      <c r="H26" s="5">
        <v>17</v>
      </c>
      <c r="I26" s="7">
        <v>1100</v>
      </c>
      <c r="J26" s="7">
        <f t="shared" si="0"/>
        <v>18700</v>
      </c>
      <c r="K26" s="8">
        <v>0.1</v>
      </c>
      <c r="L26" s="7">
        <f t="shared" si="1"/>
        <v>1870</v>
      </c>
      <c r="M26" s="7">
        <f t="shared" si="2"/>
        <v>20570</v>
      </c>
      <c r="N26" s="5" t="s">
        <v>36</v>
      </c>
    </row>
    <row r="27" spans="1:14" x14ac:dyDescent="0.35">
      <c r="A27" s="9" t="s">
        <v>60</v>
      </c>
      <c r="B27" s="10">
        <v>45709</v>
      </c>
      <c r="C27" s="9" t="s">
        <v>15</v>
      </c>
      <c r="D27" s="9" t="s">
        <v>16</v>
      </c>
      <c r="E27" s="9" t="s">
        <v>254</v>
      </c>
      <c r="F27" s="9" t="s">
        <v>43</v>
      </c>
      <c r="G27" s="9" t="s">
        <v>253</v>
      </c>
      <c r="H27" s="9">
        <v>9</v>
      </c>
      <c r="I27" s="11">
        <v>980</v>
      </c>
      <c r="J27" s="11">
        <f t="shared" si="0"/>
        <v>8820</v>
      </c>
      <c r="K27" s="12">
        <v>0.1</v>
      </c>
      <c r="L27" s="11">
        <f t="shared" si="1"/>
        <v>882</v>
      </c>
      <c r="M27" s="11">
        <f t="shared" si="2"/>
        <v>9702</v>
      </c>
      <c r="N27" s="9" t="s">
        <v>19</v>
      </c>
    </row>
    <row r="28" spans="1:14" x14ac:dyDescent="0.35">
      <c r="A28" s="5" t="s">
        <v>61</v>
      </c>
      <c r="B28" s="6">
        <v>45698</v>
      </c>
      <c r="C28" s="5" t="s">
        <v>246</v>
      </c>
      <c r="D28" s="5" t="s">
        <v>21</v>
      </c>
      <c r="E28" s="5" t="s">
        <v>35</v>
      </c>
      <c r="F28" s="5" t="s">
        <v>18</v>
      </c>
      <c r="G28" s="5" t="s">
        <v>245</v>
      </c>
      <c r="H28" s="5">
        <v>16</v>
      </c>
      <c r="I28" s="7">
        <v>2400</v>
      </c>
      <c r="J28" s="7">
        <f t="shared" si="0"/>
        <v>38400</v>
      </c>
      <c r="K28" s="8">
        <v>0.1</v>
      </c>
      <c r="L28" s="7">
        <f t="shared" si="1"/>
        <v>3840</v>
      </c>
      <c r="M28" s="7">
        <f t="shared" si="2"/>
        <v>42240</v>
      </c>
      <c r="N28" s="5" t="s">
        <v>30</v>
      </c>
    </row>
    <row r="29" spans="1:14" x14ac:dyDescent="0.35">
      <c r="A29" s="9" t="s">
        <v>62</v>
      </c>
      <c r="B29" s="10">
        <v>45701</v>
      </c>
      <c r="C29" s="9" t="s">
        <v>246</v>
      </c>
      <c r="D29" s="9" t="s">
        <v>21</v>
      </c>
      <c r="E29" s="9" t="s">
        <v>17</v>
      </c>
      <c r="F29" s="9" t="s">
        <v>33</v>
      </c>
      <c r="G29" s="9" t="s">
        <v>250</v>
      </c>
      <c r="H29" s="9">
        <v>19</v>
      </c>
      <c r="I29" s="11">
        <v>1800</v>
      </c>
      <c r="J29" s="11">
        <f t="shared" si="0"/>
        <v>34200</v>
      </c>
      <c r="K29" s="12">
        <v>0.1</v>
      </c>
      <c r="L29" s="11">
        <f t="shared" si="1"/>
        <v>3420</v>
      </c>
      <c r="M29" s="11">
        <f t="shared" si="2"/>
        <v>37620</v>
      </c>
      <c r="N29" s="9" t="s">
        <v>23</v>
      </c>
    </row>
    <row r="30" spans="1:14" x14ac:dyDescent="0.35">
      <c r="A30" s="5" t="s">
        <v>63</v>
      </c>
      <c r="B30" s="6">
        <v>45703</v>
      </c>
      <c r="C30" s="5" t="s">
        <v>46</v>
      </c>
      <c r="D30" s="5" t="s">
        <v>16</v>
      </c>
      <c r="E30" s="5" t="s">
        <v>28</v>
      </c>
      <c r="F30" s="5" t="s">
        <v>38</v>
      </c>
      <c r="G30" s="5" t="s">
        <v>251</v>
      </c>
      <c r="H30" s="5">
        <v>8</v>
      </c>
      <c r="I30" s="7">
        <v>650</v>
      </c>
      <c r="J30" s="7">
        <f t="shared" si="0"/>
        <v>5200</v>
      </c>
      <c r="K30" s="8">
        <v>0.1</v>
      </c>
      <c r="L30" s="7">
        <f t="shared" si="1"/>
        <v>520</v>
      </c>
      <c r="M30" s="7">
        <f t="shared" si="2"/>
        <v>5720</v>
      </c>
      <c r="N30" s="5" t="s">
        <v>23</v>
      </c>
    </row>
    <row r="31" spans="1:14" x14ac:dyDescent="0.35">
      <c r="A31" s="9" t="s">
        <v>64</v>
      </c>
      <c r="B31" s="10">
        <v>45721</v>
      </c>
      <c r="C31" s="9" t="s">
        <v>256</v>
      </c>
      <c r="D31" s="9" t="s">
        <v>21</v>
      </c>
      <c r="E31" s="9" t="s">
        <v>28</v>
      </c>
      <c r="F31" s="9" t="s">
        <v>38</v>
      </c>
      <c r="G31" s="9" t="s">
        <v>251</v>
      </c>
      <c r="H31" s="9">
        <v>1</v>
      </c>
      <c r="I31" s="11">
        <v>650</v>
      </c>
      <c r="J31" s="11">
        <f t="shared" si="0"/>
        <v>650</v>
      </c>
      <c r="K31" s="12">
        <v>0.1</v>
      </c>
      <c r="L31" s="11">
        <f t="shared" si="1"/>
        <v>65</v>
      </c>
      <c r="M31" s="11">
        <f t="shared" si="2"/>
        <v>715</v>
      </c>
      <c r="N31" s="9" t="s">
        <v>19</v>
      </c>
    </row>
    <row r="32" spans="1:14" x14ac:dyDescent="0.35">
      <c r="A32" s="5" t="s">
        <v>65</v>
      </c>
      <c r="B32" s="6">
        <v>45680</v>
      </c>
      <c r="C32" s="5" t="s">
        <v>255</v>
      </c>
      <c r="D32" s="5" t="s">
        <v>21</v>
      </c>
      <c r="E32" s="5" t="s">
        <v>28</v>
      </c>
      <c r="F32" s="5" t="s">
        <v>22</v>
      </c>
      <c r="G32" s="5" t="s">
        <v>247</v>
      </c>
      <c r="H32" s="5">
        <v>7</v>
      </c>
      <c r="I32" s="7">
        <v>1200</v>
      </c>
      <c r="J32" s="7">
        <f t="shared" si="0"/>
        <v>8400</v>
      </c>
      <c r="K32" s="8">
        <v>0.1</v>
      </c>
      <c r="L32" s="7">
        <f t="shared" si="1"/>
        <v>840</v>
      </c>
      <c r="M32" s="7">
        <f t="shared" si="2"/>
        <v>9240</v>
      </c>
      <c r="N32" s="5" t="s">
        <v>36</v>
      </c>
    </row>
    <row r="33" spans="1:14" x14ac:dyDescent="0.35">
      <c r="A33" s="9" t="s">
        <v>66</v>
      </c>
      <c r="B33" s="10">
        <v>45687</v>
      </c>
      <c r="C33" s="9" t="s">
        <v>15</v>
      </c>
      <c r="D33" s="9" t="s">
        <v>16</v>
      </c>
      <c r="E33" s="9" t="s">
        <v>35</v>
      </c>
      <c r="F33" s="9" t="s">
        <v>22</v>
      </c>
      <c r="G33" s="9" t="s">
        <v>247</v>
      </c>
      <c r="H33" s="9">
        <v>4</v>
      </c>
      <c r="I33" s="11">
        <v>1200</v>
      </c>
      <c r="J33" s="11">
        <f t="shared" si="0"/>
        <v>4800</v>
      </c>
      <c r="K33" s="12">
        <v>0.1</v>
      </c>
      <c r="L33" s="11">
        <f t="shared" si="1"/>
        <v>480</v>
      </c>
      <c r="M33" s="11">
        <f t="shared" si="2"/>
        <v>5280</v>
      </c>
      <c r="N33" s="9" t="s">
        <v>53</v>
      </c>
    </row>
    <row r="34" spans="1:14" x14ac:dyDescent="0.35">
      <c r="A34" s="13" t="s">
        <v>67</v>
      </c>
      <c r="B34" s="13"/>
      <c r="C34" s="13"/>
      <c r="D34" s="13"/>
      <c r="E34" s="13"/>
      <c r="F34" s="13"/>
      <c r="G34" s="13"/>
      <c r="H34" s="13">
        <f>SUM(H4:H33)</f>
        <v>349</v>
      </c>
      <c r="I34" s="13"/>
      <c r="J34" s="14">
        <f>SUM(J4:J33)</f>
        <v>485790</v>
      </c>
      <c r="K34" s="13"/>
      <c r="L34" s="14">
        <f>SUM(L4:L33)</f>
        <v>48579</v>
      </c>
      <c r="M34" s="14">
        <f>SUM(M4:M33)</f>
        <v>534369</v>
      </c>
      <c r="N34" s="13"/>
    </row>
  </sheetData>
  <autoFilter ref="A3:N33" xr:uid="{00000000-0009-0000-0000-000000000000}"/>
  <mergeCells count="2">
    <mergeCell ref="A1:N1"/>
    <mergeCell ref="A2:N2"/>
  </mergeCells>
  <phoneticPr fontId="6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86AB"/>
  </sheetPr>
  <dimension ref="A1:L16"/>
  <sheetViews>
    <sheetView zoomScaleNormal="100" workbookViewId="0">
      <pane ySplit="3" topLeftCell="A4" activePane="bottomLeft" state="frozen"/>
      <selection pane="bottomLeft" activeCell="L40" sqref="L40"/>
    </sheetView>
  </sheetViews>
  <sheetFormatPr defaultColWidth="8.7109375" defaultRowHeight="18" x14ac:dyDescent="0.35"/>
  <cols>
    <col min="1" max="1" width="12" style="2" customWidth="1"/>
    <col min="2" max="7" width="14" style="2" customWidth="1"/>
    <col min="8" max="8" width="10" style="2" customWidth="1"/>
    <col min="9" max="10" width="14" style="2" customWidth="1"/>
    <col min="11" max="11" width="12" style="2" customWidth="1"/>
    <col min="12" max="12" width="10" style="2" customWidth="1"/>
    <col min="13" max="16384" width="8.7109375" style="2"/>
  </cols>
  <sheetData>
    <row r="1" spans="1:12" ht="21.6" customHeight="1" x14ac:dyDescent="0.35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.75" customHeight="1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35">
      <c r="A3" s="4" t="s">
        <v>69</v>
      </c>
      <c r="B3" s="4" t="s">
        <v>257</v>
      </c>
      <c r="C3" s="4" t="s">
        <v>70</v>
      </c>
      <c r="D3" s="4" t="s">
        <v>71</v>
      </c>
      <c r="E3" s="4" t="s">
        <v>72</v>
      </c>
      <c r="F3" s="4" t="s">
        <v>73</v>
      </c>
      <c r="G3" s="4" t="s">
        <v>74</v>
      </c>
      <c r="H3" s="4" t="s">
        <v>75</v>
      </c>
      <c r="I3" s="4" t="s">
        <v>76</v>
      </c>
      <c r="J3" s="4" t="s">
        <v>77</v>
      </c>
      <c r="K3" s="4" t="s">
        <v>78</v>
      </c>
      <c r="L3" s="4" t="s">
        <v>79</v>
      </c>
    </row>
    <row r="4" spans="1:12" x14ac:dyDescent="0.35">
      <c r="A4" s="5" t="s">
        <v>80</v>
      </c>
      <c r="B4" s="7">
        <v>1850000</v>
      </c>
      <c r="C4" s="7">
        <v>920000</v>
      </c>
      <c r="D4" s="7">
        <v>1200000</v>
      </c>
      <c r="E4" s="7">
        <f t="shared" ref="E4:E15" si="0">SUM(B4:D4)</f>
        <v>3970000</v>
      </c>
      <c r="F4" s="7">
        <f t="shared" ref="F4:F15" si="1">ROUND(E4*0.58,0)</f>
        <v>2302600</v>
      </c>
      <c r="G4" s="7">
        <f t="shared" ref="G4:G15" si="2">E4-F4</f>
        <v>1667400</v>
      </c>
      <c r="H4" s="15">
        <f t="shared" ref="H4:H16" si="3">IF(E4=0,0,G4/E4)</f>
        <v>0.42</v>
      </c>
      <c r="I4" s="7">
        <f t="shared" ref="I4:I15" si="4">ROUND(E4*0.25,0)</f>
        <v>992500</v>
      </c>
      <c r="J4" s="7">
        <f t="shared" ref="J4:J15" si="5">G4-I4</f>
        <v>674900</v>
      </c>
      <c r="K4" s="15">
        <f t="shared" ref="K4:K16" si="6">IF(E4=0,0,J4/E4)</f>
        <v>0.17</v>
      </c>
      <c r="L4" s="5" t="s">
        <v>81</v>
      </c>
    </row>
    <row r="5" spans="1:12" x14ac:dyDescent="0.35">
      <c r="A5" s="9" t="s">
        <v>82</v>
      </c>
      <c r="B5" s="11">
        <v>1720000</v>
      </c>
      <c r="C5" s="11">
        <v>880000</v>
      </c>
      <c r="D5" s="11">
        <v>1150000</v>
      </c>
      <c r="E5" s="11">
        <f t="shared" si="0"/>
        <v>3750000</v>
      </c>
      <c r="F5" s="11">
        <f t="shared" si="1"/>
        <v>2175000</v>
      </c>
      <c r="G5" s="11">
        <f t="shared" si="2"/>
        <v>1575000</v>
      </c>
      <c r="H5" s="16">
        <f t="shared" si="3"/>
        <v>0.42</v>
      </c>
      <c r="I5" s="11">
        <f t="shared" si="4"/>
        <v>937500</v>
      </c>
      <c r="J5" s="11">
        <f t="shared" si="5"/>
        <v>637500</v>
      </c>
      <c r="K5" s="16">
        <f t="shared" si="6"/>
        <v>0.17</v>
      </c>
      <c r="L5" s="17">
        <f t="shared" ref="L5:L15" si="7">IF(E4=0,0,(E5-E4)/E4)</f>
        <v>-5.5415617128463476E-2</v>
      </c>
    </row>
    <row r="6" spans="1:12" x14ac:dyDescent="0.35">
      <c r="A6" s="5" t="s">
        <v>83</v>
      </c>
      <c r="B6" s="7">
        <v>2100000</v>
      </c>
      <c r="C6" s="7">
        <v>1050000</v>
      </c>
      <c r="D6" s="7">
        <v>1380000</v>
      </c>
      <c r="E6" s="7">
        <f t="shared" si="0"/>
        <v>4530000</v>
      </c>
      <c r="F6" s="7">
        <f t="shared" si="1"/>
        <v>2627400</v>
      </c>
      <c r="G6" s="7">
        <f t="shared" si="2"/>
        <v>1902600</v>
      </c>
      <c r="H6" s="15">
        <f t="shared" si="3"/>
        <v>0.42</v>
      </c>
      <c r="I6" s="7">
        <f t="shared" si="4"/>
        <v>1132500</v>
      </c>
      <c r="J6" s="7">
        <f t="shared" si="5"/>
        <v>770100</v>
      </c>
      <c r="K6" s="15">
        <f t="shared" si="6"/>
        <v>0.17</v>
      </c>
      <c r="L6" s="18">
        <f t="shared" si="7"/>
        <v>0.20799999999999999</v>
      </c>
    </row>
    <row r="7" spans="1:12" x14ac:dyDescent="0.35">
      <c r="A7" s="9" t="s">
        <v>84</v>
      </c>
      <c r="B7" s="11">
        <v>1980000</v>
      </c>
      <c r="C7" s="11">
        <v>960000</v>
      </c>
      <c r="D7" s="11">
        <v>1250000</v>
      </c>
      <c r="E7" s="11">
        <f t="shared" si="0"/>
        <v>4190000</v>
      </c>
      <c r="F7" s="11">
        <f t="shared" si="1"/>
        <v>2430200</v>
      </c>
      <c r="G7" s="11">
        <f t="shared" si="2"/>
        <v>1759800</v>
      </c>
      <c r="H7" s="16">
        <f t="shared" si="3"/>
        <v>0.42</v>
      </c>
      <c r="I7" s="11">
        <f t="shared" si="4"/>
        <v>1047500</v>
      </c>
      <c r="J7" s="11">
        <f t="shared" si="5"/>
        <v>712300</v>
      </c>
      <c r="K7" s="16">
        <f t="shared" si="6"/>
        <v>0.17</v>
      </c>
      <c r="L7" s="17">
        <f t="shared" si="7"/>
        <v>-7.505518763796909E-2</v>
      </c>
    </row>
    <row r="8" spans="1:12" x14ac:dyDescent="0.35">
      <c r="A8" s="5" t="s">
        <v>85</v>
      </c>
      <c r="B8" s="7">
        <v>2250000</v>
      </c>
      <c r="C8" s="7">
        <v>1100000</v>
      </c>
      <c r="D8" s="7">
        <v>1420000</v>
      </c>
      <c r="E8" s="7">
        <f t="shared" si="0"/>
        <v>4770000</v>
      </c>
      <c r="F8" s="7">
        <f t="shared" si="1"/>
        <v>2766600</v>
      </c>
      <c r="G8" s="7">
        <f t="shared" si="2"/>
        <v>2003400</v>
      </c>
      <c r="H8" s="15">
        <f t="shared" si="3"/>
        <v>0.42</v>
      </c>
      <c r="I8" s="7">
        <f t="shared" si="4"/>
        <v>1192500</v>
      </c>
      <c r="J8" s="7">
        <f t="shared" si="5"/>
        <v>810900</v>
      </c>
      <c r="K8" s="15">
        <f t="shared" si="6"/>
        <v>0.17</v>
      </c>
      <c r="L8" s="18">
        <f t="shared" si="7"/>
        <v>0.13842482100238662</v>
      </c>
    </row>
    <row r="9" spans="1:12" x14ac:dyDescent="0.35">
      <c r="A9" s="9" t="s">
        <v>86</v>
      </c>
      <c r="B9" s="11">
        <v>2380000</v>
      </c>
      <c r="C9" s="11">
        <v>1180000</v>
      </c>
      <c r="D9" s="11">
        <v>1500000</v>
      </c>
      <c r="E9" s="11">
        <f t="shared" si="0"/>
        <v>5060000</v>
      </c>
      <c r="F9" s="11">
        <f t="shared" si="1"/>
        <v>2934800</v>
      </c>
      <c r="G9" s="11">
        <f t="shared" si="2"/>
        <v>2125200</v>
      </c>
      <c r="H9" s="16">
        <f t="shared" si="3"/>
        <v>0.42</v>
      </c>
      <c r="I9" s="11">
        <f t="shared" si="4"/>
        <v>1265000</v>
      </c>
      <c r="J9" s="11">
        <f t="shared" si="5"/>
        <v>860200</v>
      </c>
      <c r="K9" s="16">
        <f t="shared" si="6"/>
        <v>0.17</v>
      </c>
      <c r="L9" s="17">
        <f t="shared" si="7"/>
        <v>6.0796645702306078E-2</v>
      </c>
    </row>
    <row r="10" spans="1:12" x14ac:dyDescent="0.35">
      <c r="A10" s="5" t="s">
        <v>87</v>
      </c>
      <c r="B10" s="7">
        <v>2650000</v>
      </c>
      <c r="C10" s="7">
        <v>1300000</v>
      </c>
      <c r="D10" s="7">
        <v>1650000</v>
      </c>
      <c r="E10" s="7">
        <f t="shared" si="0"/>
        <v>5600000</v>
      </c>
      <c r="F10" s="7">
        <f t="shared" si="1"/>
        <v>3248000</v>
      </c>
      <c r="G10" s="7">
        <f t="shared" si="2"/>
        <v>2352000</v>
      </c>
      <c r="H10" s="15">
        <f t="shared" si="3"/>
        <v>0.42</v>
      </c>
      <c r="I10" s="7">
        <f t="shared" si="4"/>
        <v>1400000</v>
      </c>
      <c r="J10" s="7">
        <f t="shared" si="5"/>
        <v>952000</v>
      </c>
      <c r="K10" s="15">
        <f t="shared" si="6"/>
        <v>0.17</v>
      </c>
      <c r="L10" s="18">
        <f t="shared" si="7"/>
        <v>0.1067193675889328</v>
      </c>
    </row>
    <row r="11" spans="1:12" x14ac:dyDescent="0.35">
      <c r="A11" s="9" t="s">
        <v>88</v>
      </c>
      <c r="B11" s="11">
        <v>2800000</v>
      </c>
      <c r="C11" s="11">
        <v>1400000</v>
      </c>
      <c r="D11" s="11">
        <v>1750000</v>
      </c>
      <c r="E11" s="11">
        <f t="shared" si="0"/>
        <v>5950000</v>
      </c>
      <c r="F11" s="11">
        <f t="shared" si="1"/>
        <v>3451000</v>
      </c>
      <c r="G11" s="11">
        <f t="shared" si="2"/>
        <v>2499000</v>
      </c>
      <c r="H11" s="16">
        <f t="shared" si="3"/>
        <v>0.42</v>
      </c>
      <c r="I11" s="11">
        <f t="shared" si="4"/>
        <v>1487500</v>
      </c>
      <c r="J11" s="11">
        <f t="shared" si="5"/>
        <v>1011500</v>
      </c>
      <c r="K11" s="16">
        <f t="shared" si="6"/>
        <v>0.17</v>
      </c>
      <c r="L11" s="17">
        <f t="shared" si="7"/>
        <v>6.25E-2</v>
      </c>
    </row>
    <row r="12" spans="1:12" x14ac:dyDescent="0.35">
      <c r="A12" s="5" t="s">
        <v>89</v>
      </c>
      <c r="B12" s="7">
        <v>2450000</v>
      </c>
      <c r="C12" s="7">
        <v>1200000</v>
      </c>
      <c r="D12" s="7">
        <v>1550000</v>
      </c>
      <c r="E12" s="7">
        <f t="shared" si="0"/>
        <v>5200000</v>
      </c>
      <c r="F12" s="7">
        <f t="shared" si="1"/>
        <v>3016000</v>
      </c>
      <c r="G12" s="7">
        <f t="shared" si="2"/>
        <v>2184000</v>
      </c>
      <c r="H12" s="15">
        <f t="shared" si="3"/>
        <v>0.42</v>
      </c>
      <c r="I12" s="7">
        <f t="shared" si="4"/>
        <v>1300000</v>
      </c>
      <c r="J12" s="7">
        <f t="shared" si="5"/>
        <v>884000</v>
      </c>
      <c r="K12" s="15">
        <f t="shared" si="6"/>
        <v>0.17</v>
      </c>
      <c r="L12" s="18">
        <f t="shared" si="7"/>
        <v>-0.12605042016806722</v>
      </c>
    </row>
    <row r="13" spans="1:12" x14ac:dyDescent="0.35">
      <c r="A13" s="9" t="s">
        <v>90</v>
      </c>
      <c r="B13" s="11">
        <v>2300000</v>
      </c>
      <c r="C13" s="11">
        <v>1150000</v>
      </c>
      <c r="D13" s="11">
        <v>1480000</v>
      </c>
      <c r="E13" s="11">
        <f t="shared" si="0"/>
        <v>4930000</v>
      </c>
      <c r="F13" s="11">
        <f t="shared" si="1"/>
        <v>2859400</v>
      </c>
      <c r="G13" s="11">
        <f t="shared" si="2"/>
        <v>2070600</v>
      </c>
      <c r="H13" s="16">
        <f t="shared" si="3"/>
        <v>0.42</v>
      </c>
      <c r="I13" s="11">
        <f t="shared" si="4"/>
        <v>1232500</v>
      </c>
      <c r="J13" s="11">
        <f t="shared" si="5"/>
        <v>838100</v>
      </c>
      <c r="K13" s="16">
        <f t="shared" si="6"/>
        <v>0.17</v>
      </c>
      <c r="L13" s="17">
        <f t="shared" si="7"/>
        <v>-5.1923076923076926E-2</v>
      </c>
    </row>
    <row r="14" spans="1:12" x14ac:dyDescent="0.35">
      <c r="A14" s="5" t="s">
        <v>91</v>
      </c>
      <c r="B14" s="7">
        <v>2550000</v>
      </c>
      <c r="C14" s="7">
        <v>1280000</v>
      </c>
      <c r="D14" s="7">
        <v>1600000</v>
      </c>
      <c r="E14" s="7">
        <f t="shared" si="0"/>
        <v>5430000</v>
      </c>
      <c r="F14" s="7">
        <f t="shared" si="1"/>
        <v>3149400</v>
      </c>
      <c r="G14" s="7">
        <f t="shared" si="2"/>
        <v>2280600</v>
      </c>
      <c r="H14" s="15">
        <f t="shared" si="3"/>
        <v>0.42</v>
      </c>
      <c r="I14" s="7">
        <f t="shared" si="4"/>
        <v>1357500</v>
      </c>
      <c r="J14" s="7">
        <f t="shared" si="5"/>
        <v>923100</v>
      </c>
      <c r="K14" s="15">
        <f t="shared" si="6"/>
        <v>0.17</v>
      </c>
      <c r="L14" s="18">
        <f t="shared" si="7"/>
        <v>0.10141987829614604</v>
      </c>
    </row>
    <row r="15" spans="1:12" x14ac:dyDescent="0.35">
      <c r="A15" s="9" t="s">
        <v>92</v>
      </c>
      <c r="B15" s="11">
        <v>3100000</v>
      </c>
      <c r="C15" s="11">
        <v>1550000</v>
      </c>
      <c r="D15" s="11">
        <v>1900000</v>
      </c>
      <c r="E15" s="11">
        <f t="shared" si="0"/>
        <v>6550000</v>
      </c>
      <c r="F15" s="11">
        <f t="shared" si="1"/>
        <v>3799000</v>
      </c>
      <c r="G15" s="11">
        <f t="shared" si="2"/>
        <v>2751000</v>
      </c>
      <c r="H15" s="16">
        <f t="shared" si="3"/>
        <v>0.42</v>
      </c>
      <c r="I15" s="11">
        <f t="shared" si="4"/>
        <v>1637500</v>
      </c>
      <c r="J15" s="11">
        <f t="shared" si="5"/>
        <v>1113500</v>
      </c>
      <c r="K15" s="16">
        <f t="shared" si="6"/>
        <v>0.17</v>
      </c>
      <c r="L15" s="17">
        <f t="shared" si="7"/>
        <v>0.20626151012891344</v>
      </c>
    </row>
    <row r="16" spans="1:12" x14ac:dyDescent="0.35">
      <c r="A16" s="13" t="s">
        <v>93</v>
      </c>
      <c r="B16" s="14">
        <f t="shared" ref="B16:G16" si="8">SUM(B4:B15)</f>
        <v>28130000</v>
      </c>
      <c r="C16" s="14">
        <f t="shared" si="8"/>
        <v>13970000</v>
      </c>
      <c r="D16" s="14">
        <f t="shared" si="8"/>
        <v>17830000</v>
      </c>
      <c r="E16" s="14">
        <f t="shared" si="8"/>
        <v>59930000</v>
      </c>
      <c r="F16" s="14">
        <f t="shared" si="8"/>
        <v>34759400</v>
      </c>
      <c r="G16" s="14">
        <f t="shared" si="8"/>
        <v>25170600</v>
      </c>
      <c r="H16" s="19">
        <f t="shared" si="3"/>
        <v>0.42</v>
      </c>
      <c r="I16" s="14">
        <f>SUM(I4:I15)</f>
        <v>14982500</v>
      </c>
      <c r="J16" s="14">
        <f>SUM(J4:J15)</f>
        <v>10188100</v>
      </c>
      <c r="K16" s="19">
        <f t="shared" si="6"/>
        <v>0.17</v>
      </c>
      <c r="L16" s="13" t="s">
        <v>81</v>
      </c>
    </row>
  </sheetData>
  <mergeCells count="2">
    <mergeCell ref="A1:L1"/>
    <mergeCell ref="A2:L2"/>
  </mergeCells>
  <phoneticPr fontId="6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AE60"/>
  </sheetPr>
  <dimension ref="A1:M29"/>
  <sheetViews>
    <sheetView zoomScaleNormal="100" workbookViewId="0">
      <pane ySplit="3" topLeftCell="A4" activePane="bottomLeft" state="frozen"/>
      <selection pane="bottomLeft" activeCell="P6" sqref="P6"/>
    </sheetView>
  </sheetViews>
  <sheetFormatPr defaultColWidth="8.7109375" defaultRowHeight="18" x14ac:dyDescent="0.35"/>
  <cols>
    <col min="1" max="1" width="14" style="2" customWidth="1"/>
    <col min="2" max="2" width="13" style="2" customWidth="1"/>
    <col min="3" max="3" width="18" style="2" customWidth="1"/>
    <col min="4" max="5" width="12" style="2" customWidth="1"/>
    <col min="6" max="6" width="20" style="2" customWidth="1"/>
    <col min="7" max="8" width="8" style="2" customWidth="1"/>
    <col min="9" max="9" width="12" style="2" customWidth="1"/>
    <col min="10" max="10" width="14" style="2" customWidth="1"/>
    <col min="11" max="11" width="13" style="2" customWidth="1"/>
    <col min="12" max="12" width="10" style="2" customWidth="1"/>
    <col min="13" max="13" width="15" style="2" customWidth="1"/>
    <col min="14" max="16384" width="8.7109375" style="2"/>
  </cols>
  <sheetData>
    <row r="1" spans="1:13" ht="21.6" customHeight="1" x14ac:dyDescent="0.35">
      <c r="A1" s="1" t="s">
        <v>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.75" customHeight="1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5">
      <c r="A3" s="4" t="s">
        <v>258</v>
      </c>
      <c r="B3" s="4" t="s">
        <v>95</v>
      </c>
      <c r="C3" s="4" t="s">
        <v>96</v>
      </c>
      <c r="D3" s="4" t="s">
        <v>97</v>
      </c>
      <c r="E3" s="4" t="s">
        <v>5</v>
      </c>
      <c r="F3" s="4" t="s">
        <v>6</v>
      </c>
      <c r="G3" s="4" t="s">
        <v>7</v>
      </c>
      <c r="H3" s="4" t="s">
        <v>98</v>
      </c>
      <c r="I3" s="4" t="s">
        <v>99</v>
      </c>
      <c r="J3" s="4" t="s">
        <v>100</v>
      </c>
      <c r="K3" s="4" t="s">
        <v>101</v>
      </c>
      <c r="L3" s="4" t="s">
        <v>102</v>
      </c>
      <c r="M3" s="4" t="s">
        <v>103</v>
      </c>
    </row>
    <row r="4" spans="1:13" x14ac:dyDescent="0.35">
      <c r="A4" s="5" t="s">
        <v>104</v>
      </c>
      <c r="B4" s="6">
        <v>45702</v>
      </c>
      <c r="C4" s="5" t="s">
        <v>105</v>
      </c>
      <c r="D4" s="5" t="s">
        <v>106</v>
      </c>
      <c r="E4" s="5" t="s">
        <v>33</v>
      </c>
      <c r="F4" s="5" t="s">
        <v>250</v>
      </c>
      <c r="G4" s="5">
        <v>137</v>
      </c>
      <c r="H4" s="5" t="s">
        <v>107</v>
      </c>
      <c r="I4" s="7">
        <v>770</v>
      </c>
      <c r="J4" s="7">
        <f t="shared" ref="J4:J28" si="0">G4*I4</f>
        <v>105490</v>
      </c>
      <c r="K4" s="6">
        <v>45712</v>
      </c>
      <c r="L4" s="5" t="s">
        <v>108</v>
      </c>
      <c r="M4" s="5"/>
    </row>
    <row r="5" spans="1:13" x14ac:dyDescent="0.35">
      <c r="A5" s="9" t="s">
        <v>109</v>
      </c>
      <c r="B5" s="10">
        <v>45681</v>
      </c>
      <c r="C5" s="9" t="s">
        <v>110</v>
      </c>
      <c r="D5" s="9" t="s">
        <v>111</v>
      </c>
      <c r="E5" s="9" t="s">
        <v>25</v>
      </c>
      <c r="F5" s="9" t="s">
        <v>248</v>
      </c>
      <c r="G5" s="9">
        <v>96</v>
      </c>
      <c r="H5" s="9" t="s">
        <v>112</v>
      </c>
      <c r="I5" s="11">
        <v>397</v>
      </c>
      <c r="J5" s="11">
        <f t="shared" si="0"/>
        <v>38112</v>
      </c>
      <c r="K5" s="10">
        <v>45694</v>
      </c>
      <c r="L5" s="9" t="s">
        <v>108</v>
      </c>
      <c r="M5" s="9"/>
    </row>
    <row r="6" spans="1:13" x14ac:dyDescent="0.35">
      <c r="A6" s="5" t="s">
        <v>113</v>
      </c>
      <c r="B6" s="6">
        <v>45700</v>
      </c>
      <c r="C6" s="5" t="s">
        <v>114</v>
      </c>
      <c r="D6" s="5" t="s">
        <v>115</v>
      </c>
      <c r="E6" s="5" t="s">
        <v>38</v>
      </c>
      <c r="F6" s="5" t="s">
        <v>251</v>
      </c>
      <c r="G6" s="5">
        <v>165</v>
      </c>
      <c r="H6" s="5" t="s">
        <v>107</v>
      </c>
      <c r="I6" s="7">
        <v>264</v>
      </c>
      <c r="J6" s="7">
        <f t="shared" si="0"/>
        <v>43560</v>
      </c>
      <c r="K6" s="6">
        <v>45711</v>
      </c>
      <c r="L6" s="5" t="s">
        <v>108</v>
      </c>
      <c r="M6" s="5"/>
    </row>
    <row r="7" spans="1:13" x14ac:dyDescent="0.35">
      <c r="A7" s="9" t="s">
        <v>116</v>
      </c>
      <c r="B7" s="10">
        <v>45673</v>
      </c>
      <c r="C7" s="9" t="s">
        <v>114</v>
      </c>
      <c r="D7" s="9" t="s">
        <v>115</v>
      </c>
      <c r="E7" s="9" t="s">
        <v>18</v>
      </c>
      <c r="F7" s="9" t="s">
        <v>245</v>
      </c>
      <c r="G7" s="9">
        <v>91</v>
      </c>
      <c r="H7" s="9" t="s">
        <v>107</v>
      </c>
      <c r="I7" s="11">
        <v>847</v>
      </c>
      <c r="J7" s="11">
        <f t="shared" si="0"/>
        <v>77077</v>
      </c>
      <c r="K7" s="10">
        <v>45676</v>
      </c>
      <c r="L7" s="9" t="s">
        <v>117</v>
      </c>
      <c r="M7" s="9"/>
    </row>
    <row r="8" spans="1:13" x14ac:dyDescent="0.35">
      <c r="A8" s="5" t="s">
        <v>118</v>
      </c>
      <c r="B8" s="6">
        <v>45665</v>
      </c>
      <c r="C8" s="5" t="s">
        <v>114</v>
      </c>
      <c r="D8" s="5" t="s">
        <v>115</v>
      </c>
      <c r="E8" s="5" t="s">
        <v>33</v>
      </c>
      <c r="F8" s="5" t="s">
        <v>250</v>
      </c>
      <c r="G8" s="5">
        <v>170</v>
      </c>
      <c r="H8" s="5" t="s">
        <v>107</v>
      </c>
      <c r="I8" s="7">
        <v>781</v>
      </c>
      <c r="J8" s="7">
        <f t="shared" si="0"/>
        <v>132770</v>
      </c>
      <c r="K8" s="6">
        <v>45674</v>
      </c>
      <c r="L8" s="5" t="s">
        <v>108</v>
      </c>
      <c r="M8" s="5"/>
    </row>
    <row r="9" spans="1:13" x14ac:dyDescent="0.35">
      <c r="A9" s="9" t="s">
        <v>119</v>
      </c>
      <c r="B9" s="10">
        <v>45690</v>
      </c>
      <c r="C9" s="9" t="s">
        <v>105</v>
      </c>
      <c r="D9" s="9" t="s">
        <v>106</v>
      </c>
      <c r="E9" s="9" t="s">
        <v>41</v>
      </c>
      <c r="F9" s="9" t="s">
        <v>252</v>
      </c>
      <c r="G9" s="9">
        <v>114</v>
      </c>
      <c r="H9" s="9" t="s">
        <v>112</v>
      </c>
      <c r="I9" s="11">
        <v>511</v>
      </c>
      <c r="J9" s="11">
        <f t="shared" si="0"/>
        <v>58254</v>
      </c>
      <c r="K9" s="10">
        <v>45693</v>
      </c>
      <c r="L9" s="9" t="s">
        <v>108</v>
      </c>
      <c r="M9" s="9"/>
    </row>
    <row r="10" spans="1:13" x14ac:dyDescent="0.35">
      <c r="A10" s="5" t="s">
        <v>120</v>
      </c>
      <c r="B10" s="6">
        <v>45690</v>
      </c>
      <c r="C10" s="5" t="s">
        <v>121</v>
      </c>
      <c r="D10" s="5" t="s">
        <v>122</v>
      </c>
      <c r="E10" s="5" t="s">
        <v>33</v>
      </c>
      <c r="F10" s="5" t="s">
        <v>250</v>
      </c>
      <c r="G10" s="5">
        <v>134</v>
      </c>
      <c r="H10" s="5" t="s">
        <v>112</v>
      </c>
      <c r="I10" s="7">
        <v>784</v>
      </c>
      <c r="J10" s="7">
        <f t="shared" si="0"/>
        <v>105056</v>
      </c>
      <c r="K10" s="6">
        <v>45695</v>
      </c>
      <c r="L10" s="5" t="s">
        <v>108</v>
      </c>
      <c r="M10" s="5"/>
    </row>
    <row r="11" spans="1:13" x14ac:dyDescent="0.35">
      <c r="A11" s="9" t="s">
        <v>123</v>
      </c>
      <c r="B11" s="10">
        <v>45698</v>
      </c>
      <c r="C11" s="9" t="s">
        <v>110</v>
      </c>
      <c r="D11" s="9" t="s">
        <v>111</v>
      </c>
      <c r="E11" s="9" t="s">
        <v>43</v>
      </c>
      <c r="F11" s="9" t="s">
        <v>253</v>
      </c>
      <c r="G11" s="9">
        <v>22</v>
      </c>
      <c r="H11" s="9" t="s">
        <v>107</v>
      </c>
      <c r="I11" s="11">
        <v>422</v>
      </c>
      <c r="J11" s="11">
        <f t="shared" si="0"/>
        <v>9284</v>
      </c>
      <c r="K11" s="10">
        <v>45705</v>
      </c>
      <c r="L11" s="9" t="s">
        <v>108</v>
      </c>
      <c r="M11" s="9"/>
    </row>
    <row r="12" spans="1:13" x14ac:dyDescent="0.35">
      <c r="A12" s="5" t="s">
        <v>124</v>
      </c>
      <c r="B12" s="6">
        <v>45686</v>
      </c>
      <c r="C12" s="5" t="s">
        <v>121</v>
      </c>
      <c r="D12" s="5" t="s">
        <v>122</v>
      </c>
      <c r="E12" s="5" t="s">
        <v>29</v>
      </c>
      <c r="F12" s="5" t="s">
        <v>249</v>
      </c>
      <c r="G12" s="5">
        <v>181</v>
      </c>
      <c r="H12" s="5" t="s">
        <v>107</v>
      </c>
      <c r="I12" s="7">
        <v>618</v>
      </c>
      <c r="J12" s="7">
        <f t="shared" si="0"/>
        <v>111858</v>
      </c>
      <c r="K12" s="6">
        <v>45694</v>
      </c>
      <c r="L12" s="5" t="s">
        <v>117</v>
      </c>
      <c r="M12" s="5"/>
    </row>
    <row r="13" spans="1:13" x14ac:dyDescent="0.35">
      <c r="A13" s="9" t="s">
        <v>125</v>
      </c>
      <c r="B13" s="10">
        <v>45679</v>
      </c>
      <c r="C13" s="9" t="s">
        <v>110</v>
      </c>
      <c r="D13" s="9" t="s">
        <v>111</v>
      </c>
      <c r="E13" s="9" t="s">
        <v>38</v>
      </c>
      <c r="F13" s="9" t="s">
        <v>251</v>
      </c>
      <c r="G13" s="9">
        <v>138</v>
      </c>
      <c r="H13" s="9" t="s">
        <v>112</v>
      </c>
      <c r="I13" s="11">
        <v>289</v>
      </c>
      <c r="J13" s="11">
        <f t="shared" si="0"/>
        <v>39882</v>
      </c>
      <c r="K13" s="10">
        <v>45685</v>
      </c>
      <c r="L13" s="9" t="s">
        <v>126</v>
      </c>
      <c r="M13" s="9"/>
    </row>
    <row r="14" spans="1:13" x14ac:dyDescent="0.35">
      <c r="A14" s="5" t="s">
        <v>127</v>
      </c>
      <c r="B14" s="6">
        <v>45676</v>
      </c>
      <c r="C14" s="5" t="s">
        <v>114</v>
      </c>
      <c r="D14" s="5" t="s">
        <v>115</v>
      </c>
      <c r="E14" s="5" t="s">
        <v>43</v>
      </c>
      <c r="F14" s="5" t="s">
        <v>253</v>
      </c>
      <c r="G14" s="5">
        <v>47</v>
      </c>
      <c r="H14" s="5" t="s">
        <v>107</v>
      </c>
      <c r="I14" s="7">
        <v>487</v>
      </c>
      <c r="J14" s="7">
        <f t="shared" si="0"/>
        <v>22889</v>
      </c>
      <c r="K14" s="6">
        <v>45680</v>
      </c>
      <c r="L14" s="5" t="s">
        <v>126</v>
      </c>
      <c r="M14" s="5"/>
    </row>
    <row r="15" spans="1:13" x14ac:dyDescent="0.35">
      <c r="A15" s="9" t="s">
        <v>128</v>
      </c>
      <c r="B15" s="10">
        <v>45681</v>
      </c>
      <c r="C15" s="9" t="s">
        <v>110</v>
      </c>
      <c r="D15" s="9" t="s">
        <v>111</v>
      </c>
      <c r="E15" s="9" t="s">
        <v>18</v>
      </c>
      <c r="F15" s="9" t="s">
        <v>245</v>
      </c>
      <c r="G15" s="9">
        <v>89</v>
      </c>
      <c r="H15" s="9" t="s">
        <v>107</v>
      </c>
      <c r="I15" s="11">
        <v>927</v>
      </c>
      <c r="J15" s="11">
        <f t="shared" si="0"/>
        <v>82503</v>
      </c>
      <c r="K15" s="10">
        <v>45693</v>
      </c>
      <c r="L15" s="9" t="s">
        <v>117</v>
      </c>
      <c r="M15" s="9"/>
    </row>
    <row r="16" spans="1:13" x14ac:dyDescent="0.35">
      <c r="A16" s="5" t="s">
        <v>129</v>
      </c>
      <c r="B16" s="6">
        <v>45685</v>
      </c>
      <c r="C16" s="5" t="s">
        <v>130</v>
      </c>
      <c r="D16" s="5" t="s">
        <v>131</v>
      </c>
      <c r="E16" s="5" t="s">
        <v>33</v>
      </c>
      <c r="F16" s="5" t="s">
        <v>250</v>
      </c>
      <c r="G16" s="5">
        <v>82</v>
      </c>
      <c r="H16" s="5" t="s">
        <v>112</v>
      </c>
      <c r="I16" s="7">
        <v>973</v>
      </c>
      <c r="J16" s="7">
        <f t="shared" si="0"/>
        <v>79786</v>
      </c>
      <c r="K16" s="6">
        <v>45698</v>
      </c>
      <c r="L16" s="5" t="s">
        <v>108</v>
      </c>
      <c r="M16" s="5"/>
    </row>
    <row r="17" spans="1:13" x14ac:dyDescent="0.35">
      <c r="A17" s="9" t="s">
        <v>132</v>
      </c>
      <c r="B17" s="10">
        <v>45706</v>
      </c>
      <c r="C17" s="9" t="s">
        <v>105</v>
      </c>
      <c r="D17" s="9" t="s">
        <v>106</v>
      </c>
      <c r="E17" s="9" t="s">
        <v>41</v>
      </c>
      <c r="F17" s="9" t="s">
        <v>252</v>
      </c>
      <c r="G17" s="9">
        <v>133</v>
      </c>
      <c r="H17" s="9" t="s">
        <v>133</v>
      </c>
      <c r="I17" s="11">
        <v>427</v>
      </c>
      <c r="J17" s="11">
        <f t="shared" si="0"/>
        <v>56791</v>
      </c>
      <c r="K17" s="10">
        <v>45719</v>
      </c>
      <c r="L17" s="9" t="s">
        <v>108</v>
      </c>
      <c r="M17" s="9"/>
    </row>
    <row r="18" spans="1:13" x14ac:dyDescent="0.35">
      <c r="A18" s="5" t="s">
        <v>134</v>
      </c>
      <c r="B18" s="6">
        <v>45683</v>
      </c>
      <c r="C18" s="5" t="s">
        <v>110</v>
      </c>
      <c r="D18" s="5" t="s">
        <v>111</v>
      </c>
      <c r="E18" s="5" t="s">
        <v>33</v>
      </c>
      <c r="F18" s="5" t="s">
        <v>250</v>
      </c>
      <c r="G18" s="5">
        <v>119</v>
      </c>
      <c r="H18" s="5" t="s">
        <v>107</v>
      </c>
      <c r="I18" s="7">
        <v>897</v>
      </c>
      <c r="J18" s="7">
        <f t="shared" si="0"/>
        <v>106743</v>
      </c>
      <c r="K18" s="6">
        <v>45687</v>
      </c>
      <c r="L18" s="5" t="s">
        <v>108</v>
      </c>
      <c r="M18" s="5"/>
    </row>
    <row r="19" spans="1:13" x14ac:dyDescent="0.35">
      <c r="A19" s="9" t="s">
        <v>135</v>
      </c>
      <c r="B19" s="10">
        <v>45695</v>
      </c>
      <c r="C19" s="9" t="s">
        <v>110</v>
      </c>
      <c r="D19" s="9" t="s">
        <v>111</v>
      </c>
      <c r="E19" s="9" t="s">
        <v>43</v>
      </c>
      <c r="F19" s="9" t="s">
        <v>253</v>
      </c>
      <c r="G19" s="9">
        <v>33</v>
      </c>
      <c r="H19" s="9" t="s">
        <v>107</v>
      </c>
      <c r="I19" s="11">
        <v>464</v>
      </c>
      <c r="J19" s="11">
        <f t="shared" si="0"/>
        <v>15312</v>
      </c>
      <c r="K19" s="10">
        <v>45707</v>
      </c>
      <c r="L19" s="9" t="s">
        <v>126</v>
      </c>
      <c r="M19" s="9"/>
    </row>
    <row r="20" spans="1:13" x14ac:dyDescent="0.35">
      <c r="A20" s="5" t="s">
        <v>136</v>
      </c>
      <c r="B20" s="6">
        <v>45710</v>
      </c>
      <c r="C20" s="5" t="s">
        <v>105</v>
      </c>
      <c r="D20" s="5" t="s">
        <v>106</v>
      </c>
      <c r="E20" s="5" t="s">
        <v>25</v>
      </c>
      <c r="F20" s="5" t="s">
        <v>248</v>
      </c>
      <c r="G20" s="5">
        <v>149</v>
      </c>
      <c r="H20" s="5" t="s">
        <v>107</v>
      </c>
      <c r="I20" s="7">
        <v>316</v>
      </c>
      <c r="J20" s="7">
        <f t="shared" si="0"/>
        <v>47084</v>
      </c>
      <c r="K20" s="6">
        <v>45718</v>
      </c>
      <c r="L20" s="5" t="s">
        <v>108</v>
      </c>
      <c r="M20" s="5"/>
    </row>
    <row r="21" spans="1:13" x14ac:dyDescent="0.35">
      <c r="A21" s="9" t="s">
        <v>137</v>
      </c>
      <c r="B21" s="10">
        <v>45690</v>
      </c>
      <c r="C21" s="9" t="s">
        <v>130</v>
      </c>
      <c r="D21" s="9" t="s">
        <v>131</v>
      </c>
      <c r="E21" s="9" t="s">
        <v>43</v>
      </c>
      <c r="F21" s="9" t="s">
        <v>253</v>
      </c>
      <c r="G21" s="9">
        <v>12</v>
      </c>
      <c r="H21" s="9" t="s">
        <v>107</v>
      </c>
      <c r="I21" s="11">
        <v>457</v>
      </c>
      <c r="J21" s="11">
        <f t="shared" si="0"/>
        <v>5484</v>
      </c>
      <c r="K21" s="10">
        <v>45694</v>
      </c>
      <c r="L21" s="9" t="s">
        <v>126</v>
      </c>
      <c r="M21" s="9"/>
    </row>
    <row r="22" spans="1:13" x14ac:dyDescent="0.35">
      <c r="A22" s="5" t="s">
        <v>138</v>
      </c>
      <c r="B22" s="6">
        <v>45705</v>
      </c>
      <c r="C22" s="5" t="s">
        <v>130</v>
      </c>
      <c r="D22" s="5" t="s">
        <v>131</v>
      </c>
      <c r="E22" s="5" t="s">
        <v>18</v>
      </c>
      <c r="F22" s="5" t="s">
        <v>245</v>
      </c>
      <c r="G22" s="5">
        <v>103</v>
      </c>
      <c r="H22" s="5" t="s">
        <v>107</v>
      </c>
      <c r="I22" s="7">
        <v>991</v>
      </c>
      <c r="J22" s="7">
        <f t="shared" si="0"/>
        <v>102073</v>
      </c>
      <c r="K22" s="6">
        <v>45708</v>
      </c>
      <c r="L22" s="5" t="s">
        <v>108</v>
      </c>
      <c r="M22" s="5"/>
    </row>
    <row r="23" spans="1:13" x14ac:dyDescent="0.35">
      <c r="A23" s="9" t="s">
        <v>139</v>
      </c>
      <c r="B23" s="10">
        <v>45670</v>
      </c>
      <c r="C23" s="9" t="s">
        <v>114</v>
      </c>
      <c r="D23" s="9" t="s">
        <v>115</v>
      </c>
      <c r="E23" s="9" t="s">
        <v>38</v>
      </c>
      <c r="F23" s="9" t="s">
        <v>251</v>
      </c>
      <c r="G23" s="9">
        <v>170</v>
      </c>
      <c r="H23" s="9" t="s">
        <v>133</v>
      </c>
      <c r="I23" s="11">
        <v>255</v>
      </c>
      <c r="J23" s="11">
        <f t="shared" si="0"/>
        <v>43350</v>
      </c>
      <c r="K23" s="10">
        <v>45677</v>
      </c>
      <c r="L23" s="9" t="s">
        <v>108</v>
      </c>
      <c r="M23" s="9"/>
    </row>
    <row r="24" spans="1:13" x14ac:dyDescent="0.35">
      <c r="A24" s="5" t="s">
        <v>140</v>
      </c>
      <c r="B24" s="6">
        <v>45680</v>
      </c>
      <c r="C24" s="5" t="s">
        <v>105</v>
      </c>
      <c r="D24" s="5" t="s">
        <v>106</v>
      </c>
      <c r="E24" s="5" t="s">
        <v>22</v>
      </c>
      <c r="F24" s="5" t="s">
        <v>247</v>
      </c>
      <c r="G24" s="5">
        <v>200</v>
      </c>
      <c r="H24" s="5" t="s">
        <v>112</v>
      </c>
      <c r="I24" s="7">
        <v>631</v>
      </c>
      <c r="J24" s="7">
        <f t="shared" si="0"/>
        <v>126200</v>
      </c>
      <c r="K24" s="6">
        <v>45685</v>
      </c>
      <c r="L24" s="5" t="s">
        <v>108</v>
      </c>
      <c r="M24" s="5"/>
    </row>
    <row r="25" spans="1:13" x14ac:dyDescent="0.35">
      <c r="A25" s="9" t="s">
        <v>141</v>
      </c>
      <c r="B25" s="10">
        <v>45674</v>
      </c>
      <c r="C25" s="9" t="s">
        <v>105</v>
      </c>
      <c r="D25" s="9" t="s">
        <v>106</v>
      </c>
      <c r="E25" s="9" t="s">
        <v>33</v>
      </c>
      <c r="F25" s="9" t="s">
        <v>250</v>
      </c>
      <c r="G25" s="9">
        <v>34</v>
      </c>
      <c r="H25" s="9" t="s">
        <v>107</v>
      </c>
      <c r="I25" s="11">
        <v>708</v>
      </c>
      <c r="J25" s="11">
        <f t="shared" si="0"/>
        <v>24072</v>
      </c>
      <c r="K25" s="10">
        <v>45685</v>
      </c>
      <c r="L25" s="9" t="s">
        <v>108</v>
      </c>
      <c r="M25" s="9"/>
    </row>
    <row r="26" spans="1:13" x14ac:dyDescent="0.35">
      <c r="A26" s="5" t="s">
        <v>142</v>
      </c>
      <c r="B26" s="6">
        <v>45672</v>
      </c>
      <c r="C26" s="5" t="s">
        <v>105</v>
      </c>
      <c r="D26" s="5" t="s">
        <v>106</v>
      </c>
      <c r="E26" s="5" t="s">
        <v>33</v>
      </c>
      <c r="F26" s="5" t="s">
        <v>250</v>
      </c>
      <c r="G26" s="5">
        <v>60</v>
      </c>
      <c r="H26" s="5" t="s">
        <v>112</v>
      </c>
      <c r="I26" s="7">
        <v>932</v>
      </c>
      <c r="J26" s="7">
        <f t="shared" si="0"/>
        <v>55920</v>
      </c>
      <c r="K26" s="6">
        <v>45682</v>
      </c>
      <c r="L26" s="5" t="s">
        <v>108</v>
      </c>
      <c r="M26" s="5"/>
    </row>
    <row r="27" spans="1:13" x14ac:dyDescent="0.35">
      <c r="A27" s="9" t="s">
        <v>143</v>
      </c>
      <c r="B27" s="10">
        <v>45693</v>
      </c>
      <c r="C27" s="9" t="s">
        <v>114</v>
      </c>
      <c r="D27" s="9" t="s">
        <v>115</v>
      </c>
      <c r="E27" s="9" t="s">
        <v>33</v>
      </c>
      <c r="F27" s="9" t="s">
        <v>250</v>
      </c>
      <c r="G27" s="9">
        <v>11</v>
      </c>
      <c r="H27" s="9" t="s">
        <v>107</v>
      </c>
      <c r="I27" s="11">
        <v>955</v>
      </c>
      <c r="J27" s="11">
        <f t="shared" si="0"/>
        <v>10505</v>
      </c>
      <c r="K27" s="10">
        <v>45703</v>
      </c>
      <c r="L27" s="9" t="s">
        <v>126</v>
      </c>
      <c r="M27" s="9"/>
    </row>
    <row r="28" spans="1:13" x14ac:dyDescent="0.35">
      <c r="A28" s="5" t="s">
        <v>144</v>
      </c>
      <c r="B28" s="6">
        <v>45673</v>
      </c>
      <c r="C28" s="5" t="s">
        <v>121</v>
      </c>
      <c r="D28" s="5" t="s">
        <v>122</v>
      </c>
      <c r="E28" s="5" t="s">
        <v>29</v>
      </c>
      <c r="F28" s="5" t="s">
        <v>249</v>
      </c>
      <c r="G28" s="5">
        <v>196</v>
      </c>
      <c r="H28" s="5" t="s">
        <v>112</v>
      </c>
      <c r="I28" s="7">
        <v>777</v>
      </c>
      <c r="J28" s="7">
        <f t="shared" si="0"/>
        <v>152292</v>
      </c>
      <c r="K28" s="6">
        <v>45685</v>
      </c>
      <c r="L28" s="5" t="s">
        <v>108</v>
      </c>
      <c r="M28" s="5"/>
    </row>
    <row r="29" spans="1:13" x14ac:dyDescent="0.35">
      <c r="A29" s="13" t="s">
        <v>67</v>
      </c>
      <c r="B29" s="13"/>
      <c r="C29" s="13"/>
      <c r="D29" s="13"/>
      <c r="E29" s="13"/>
      <c r="F29" s="13"/>
      <c r="G29" s="13">
        <f>SUM(G4:G28)</f>
        <v>2686</v>
      </c>
      <c r="H29" s="13"/>
      <c r="I29" s="13"/>
      <c r="J29" s="14">
        <f>SUM(J4:J28)</f>
        <v>1652347</v>
      </c>
      <c r="K29" s="13"/>
      <c r="L29" s="13"/>
      <c r="M29" s="13"/>
    </row>
  </sheetData>
  <autoFilter ref="A3:M28" xr:uid="{00000000-0009-0000-0000-000002000000}"/>
  <mergeCells count="2">
    <mergeCell ref="A1:M1"/>
    <mergeCell ref="A2:M2"/>
  </mergeCells>
  <phoneticPr fontId="6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39C12"/>
  </sheetPr>
  <dimension ref="A1:J11"/>
  <sheetViews>
    <sheetView zoomScaleNormal="100" workbookViewId="0">
      <pane ySplit="3" topLeftCell="A4" activePane="bottomLeft" state="frozen"/>
      <selection pane="bottomLeft" activeCell="C15" sqref="C15"/>
    </sheetView>
  </sheetViews>
  <sheetFormatPr defaultColWidth="8.7109375" defaultRowHeight="18" x14ac:dyDescent="0.35"/>
  <cols>
    <col min="1" max="1" width="12" style="2" customWidth="1"/>
    <col min="2" max="2" width="22" style="2" customWidth="1"/>
    <col min="3" max="3" width="10" style="2" customWidth="1"/>
    <col min="4" max="4" width="15" style="2" customWidth="1"/>
    <col min="5" max="6" width="12" style="2" customWidth="1"/>
    <col min="7" max="8" width="10" style="2" customWidth="1"/>
    <col min="9" max="10" width="12" style="2" customWidth="1"/>
    <col min="11" max="16384" width="8.7109375" style="2"/>
  </cols>
  <sheetData>
    <row r="1" spans="1:10" ht="21.6" customHeight="1" x14ac:dyDescent="0.35">
      <c r="A1" s="1" t="s">
        <v>145</v>
      </c>
      <c r="B1" s="1"/>
      <c r="C1" s="1"/>
      <c r="D1" s="1"/>
      <c r="E1" s="1"/>
      <c r="F1" s="1"/>
      <c r="G1" s="1"/>
      <c r="H1" s="1"/>
      <c r="I1" s="1"/>
      <c r="J1" s="1"/>
    </row>
    <row r="2" spans="1:10" ht="3.75" customHeight="1" x14ac:dyDescent="0.35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ht="36" x14ac:dyDescent="0.35">
      <c r="A3" s="4" t="s">
        <v>5</v>
      </c>
      <c r="B3" s="4" t="s">
        <v>6</v>
      </c>
      <c r="C3" s="4" t="s">
        <v>146</v>
      </c>
      <c r="D3" s="4" t="s">
        <v>147</v>
      </c>
      <c r="E3" s="4" t="s">
        <v>99</v>
      </c>
      <c r="F3" s="4" t="s">
        <v>148</v>
      </c>
      <c r="G3" s="4" t="s">
        <v>75</v>
      </c>
      <c r="H3" s="4" t="s">
        <v>149</v>
      </c>
      <c r="I3" s="4" t="s">
        <v>150</v>
      </c>
      <c r="J3" s="4" t="s">
        <v>151</v>
      </c>
    </row>
    <row r="4" spans="1:10" x14ac:dyDescent="0.35">
      <c r="A4" s="5" t="s">
        <v>25</v>
      </c>
      <c r="B4" s="5" t="s">
        <v>248</v>
      </c>
      <c r="C4" s="5" t="s">
        <v>152</v>
      </c>
      <c r="D4" s="7">
        <v>800</v>
      </c>
      <c r="E4" s="7">
        <v>350</v>
      </c>
      <c r="F4" s="7">
        <f t="shared" ref="F4:F11" si="0">D4-E4</f>
        <v>450</v>
      </c>
      <c r="G4" s="15">
        <f t="shared" ref="G4:G11" si="1">IF(D4=0,0,F4/D4)</f>
        <v>0.5625</v>
      </c>
      <c r="H4" s="5">
        <v>150</v>
      </c>
      <c r="I4" s="5">
        <v>50</v>
      </c>
      <c r="J4" s="5" t="str">
        <f t="shared" ref="J4:J11" si="2">IF(H4&lt;=I4,"要発注",IF(H4&lt;=I4*1.5,"注意","適正"))</f>
        <v>適正</v>
      </c>
    </row>
    <row r="5" spans="1:10" x14ac:dyDescent="0.35">
      <c r="A5" s="9" t="s">
        <v>38</v>
      </c>
      <c r="B5" s="9" t="s">
        <v>251</v>
      </c>
      <c r="C5" s="9" t="s">
        <v>152</v>
      </c>
      <c r="D5" s="11">
        <v>650</v>
      </c>
      <c r="E5" s="11">
        <v>280</v>
      </c>
      <c r="F5" s="11">
        <f t="shared" si="0"/>
        <v>370</v>
      </c>
      <c r="G5" s="16">
        <f t="shared" si="1"/>
        <v>0.56923076923076921</v>
      </c>
      <c r="H5" s="9">
        <v>200</v>
      </c>
      <c r="I5" s="9">
        <v>60</v>
      </c>
      <c r="J5" s="9" t="str">
        <f t="shared" si="2"/>
        <v>適正</v>
      </c>
    </row>
    <row r="6" spans="1:10" x14ac:dyDescent="0.35">
      <c r="A6" s="5" t="s">
        <v>22</v>
      </c>
      <c r="B6" s="5" t="s">
        <v>247</v>
      </c>
      <c r="C6" s="5" t="s">
        <v>153</v>
      </c>
      <c r="D6" s="7">
        <v>1200</v>
      </c>
      <c r="E6" s="7">
        <v>500</v>
      </c>
      <c r="F6" s="7">
        <f t="shared" si="0"/>
        <v>700</v>
      </c>
      <c r="G6" s="15">
        <f t="shared" si="1"/>
        <v>0.58333333333333337</v>
      </c>
      <c r="H6" s="5">
        <v>300</v>
      </c>
      <c r="I6" s="5">
        <v>80</v>
      </c>
      <c r="J6" s="5" t="str">
        <f t="shared" si="2"/>
        <v>適正</v>
      </c>
    </row>
    <row r="7" spans="1:10" x14ac:dyDescent="0.35">
      <c r="A7" s="9" t="s">
        <v>18</v>
      </c>
      <c r="B7" s="9" t="s">
        <v>245</v>
      </c>
      <c r="C7" s="9" t="s">
        <v>153</v>
      </c>
      <c r="D7" s="11">
        <v>2400</v>
      </c>
      <c r="E7" s="11">
        <v>1000</v>
      </c>
      <c r="F7" s="11">
        <f t="shared" si="0"/>
        <v>1400</v>
      </c>
      <c r="G7" s="16">
        <f t="shared" si="1"/>
        <v>0.58333333333333337</v>
      </c>
      <c r="H7" s="9">
        <v>180</v>
      </c>
      <c r="I7" s="9">
        <v>50</v>
      </c>
      <c r="J7" s="9" t="str">
        <f t="shared" si="2"/>
        <v>適正</v>
      </c>
    </row>
    <row r="8" spans="1:10" x14ac:dyDescent="0.35">
      <c r="A8" s="5" t="s">
        <v>43</v>
      </c>
      <c r="B8" s="5" t="s">
        <v>253</v>
      </c>
      <c r="C8" s="5" t="s">
        <v>154</v>
      </c>
      <c r="D8" s="7">
        <v>980</v>
      </c>
      <c r="E8" s="7">
        <v>420</v>
      </c>
      <c r="F8" s="7">
        <f t="shared" si="0"/>
        <v>560</v>
      </c>
      <c r="G8" s="15">
        <f t="shared" si="1"/>
        <v>0.5714285714285714</v>
      </c>
      <c r="H8" s="5">
        <v>120</v>
      </c>
      <c r="I8" s="5">
        <v>40</v>
      </c>
      <c r="J8" s="5" t="str">
        <f t="shared" si="2"/>
        <v>適正</v>
      </c>
    </row>
    <row r="9" spans="1:10" x14ac:dyDescent="0.35">
      <c r="A9" s="9" t="s">
        <v>29</v>
      </c>
      <c r="B9" s="9" t="s">
        <v>249</v>
      </c>
      <c r="C9" s="9" t="s">
        <v>155</v>
      </c>
      <c r="D9" s="11">
        <v>1500</v>
      </c>
      <c r="E9" s="11">
        <v>650</v>
      </c>
      <c r="F9" s="11">
        <f t="shared" si="0"/>
        <v>850</v>
      </c>
      <c r="G9" s="16">
        <f t="shared" si="1"/>
        <v>0.56666666666666665</v>
      </c>
      <c r="H9" s="9">
        <v>80</v>
      </c>
      <c r="I9" s="9">
        <v>30</v>
      </c>
      <c r="J9" s="9" t="str">
        <f t="shared" si="2"/>
        <v>適正</v>
      </c>
    </row>
    <row r="10" spans="1:10" x14ac:dyDescent="0.35">
      <c r="A10" s="5" t="s">
        <v>41</v>
      </c>
      <c r="B10" s="5" t="s">
        <v>252</v>
      </c>
      <c r="C10" s="5" t="s">
        <v>156</v>
      </c>
      <c r="D10" s="7">
        <v>1100</v>
      </c>
      <c r="E10" s="7">
        <v>480</v>
      </c>
      <c r="F10" s="7">
        <f t="shared" si="0"/>
        <v>620</v>
      </c>
      <c r="G10" s="15">
        <f t="shared" si="1"/>
        <v>0.5636363636363636</v>
      </c>
      <c r="H10" s="5">
        <v>250</v>
      </c>
      <c r="I10" s="5">
        <v>70</v>
      </c>
      <c r="J10" s="5" t="str">
        <f t="shared" si="2"/>
        <v>適正</v>
      </c>
    </row>
    <row r="11" spans="1:10" x14ac:dyDescent="0.35">
      <c r="A11" s="9" t="s">
        <v>33</v>
      </c>
      <c r="B11" s="9" t="s">
        <v>250</v>
      </c>
      <c r="C11" s="9" t="s">
        <v>156</v>
      </c>
      <c r="D11" s="11">
        <v>1800</v>
      </c>
      <c r="E11" s="11">
        <v>750</v>
      </c>
      <c r="F11" s="11">
        <f t="shared" si="0"/>
        <v>1050</v>
      </c>
      <c r="G11" s="16">
        <f t="shared" si="1"/>
        <v>0.58333333333333337</v>
      </c>
      <c r="H11" s="9">
        <v>160</v>
      </c>
      <c r="I11" s="9">
        <v>50</v>
      </c>
      <c r="J11" s="9" t="str">
        <f t="shared" si="2"/>
        <v>適正</v>
      </c>
    </row>
  </sheetData>
  <mergeCells count="2">
    <mergeCell ref="A1:J1"/>
    <mergeCell ref="A2:J2"/>
  </mergeCells>
  <phoneticPr fontId="6"/>
  <conditionalFormatting sqref="J4:J11">
    <cfRule type="cellIs" dxfId="4" priority="2" operator="equal">
      <formula>"要発注"</formula>
    </cfRule>
    <cfRule type="cellIs" dxfId="3" priority="3" operator="equal">
      <formula>"注意"</formula>
    </cfRule>
    <cfRule type="cellIs" dxfId="2" priority="4" operator="equal">
      <formula>"適正"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E44AD"/>
  </sheetPr>
  <dimension ref="A1:J11"/>
  <sheetViews>
    <sheetView zoomScaleNormal="100" workbookViewId="0">
      <pane ySplit="3" topLeftCell="A4" activePane="bottomLeft" state="frozen"/>
      <selection pane="bottomLeft" activeCell="D19" sqref="D19"/>
    </sheetView>
  </sheetViews>
  <sheetFormatPr defaultColWidth="8.7109375" defaultRowHeight="18" x14ac:dyDescent="0.35"/>
  <cols>
    <col min="1" max="1" width="12" style="2" customWidth="1"/>
    <col min="2" max="2" width="14" style="2" customWidth="1"/>
    <col min="3" max="4" width="10" style="2" customWidth="1"/>
    <col min="5" max="5" width="16" style="2" customWidth="1"/>
    <col min="6" max="6" width="13" style="2" customWidth="1"/>
    <col min="7" max="7" width="14" style="2" customWidth="1"/>
    <col min="8" max="8" width="13" style="2" customWidth="1"/>
    <col min="9" max="9" width="10" style="2" customWidth="1"/>
    <col min="10" max="10" width="8" style="2" customWidth="1"/>
    <col min="11" max="16384" width="8.7109375" style="2"/>
  </cols>
  <sheetData>
    <row r="1" spans="1:10" ht="21.6" customHeight="1" x14ac:dyDescent="0.35">
      <c r="A1" s="1" t="s">
        <v>157</v>
      </c>
      <c r="B1" s="1"/>
      <c r="C1" s="1"/>
      <c r="D1" s="1"/>
      <c r="E1" s="1"/>
      <c r="F1" s="1"/>
      <c r="G1" s="1"/>
      <c r="H1" s="1"/>
      <c r="I1" s="1"/>
      <c r="J1" s="1"/>
    </row>
    <row r="2" spans="1:10" ht="3.75" customHeight="1" x14ac:dyDescent="0.35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x14ac:dyDescent="0.35">
      <c r="A3" s="4" t="s">
        <v>158</v>
      </c>
      <c r="B3" s="4" t="s">
        <v>2</v>
      </c>
      <c r="C3" s="4" t="s">
        <v>3</v>
      </c>
      <c r="D3" s="4" t="s">
        <v>159</v>
      </c>
      <c r="E3" s="4" t="s">
        <v>160</v>
      </c>
      <c r="F3" s="4" t="s">
        <v>161</v>
      </c>
      <c r="G3" s="4" t="s">
        <v>162</v>
      </c>
      <c r="H3" s="4" t="s">
        <v>163</v>
      </c>
      <c r="I3" s="4" t="s">
        <v>164</v>
      </c>
      <c r="J3" s="4" t="s">
        <v>165</v>
      </c>
    </row>
    <row r="4" spans="1:10" x14ac:dyDescent="0.35">
      <c r="A4" s="5" t="s">
        <v>166</v>
      </c>
      <c r="B4" s="5" t="s">
        <v>15</v>
      </c>
      <c r="C4" s="5" t="s">
        <v>16</v>
      </c>
      <c r="D4" s="5" t="s">
        <v>167</v>
      </c>
      <c r="E4" s="5" t="s">
        <v>168</v>
      </c>
      <c r="F4" s="5" t="s">
        <v>169</v>
      </c>
      <c r="G4" s="7">
        <v>8500000</v>
      </c>
      <c r="H4" s="5" t="s">
        <v>170</v>
      </c>
      <c r="I4" s="5">
        <v>120</v>
      </c>
      <c r="J4" s="5" t="s">
        <v>171</v>
      </c>
    </row>
    <row r="5" spans="1:10" x14ac:dyDescent="0.35">
      <c r="A5" s="9" t="s">
        <v>172</v>
      </c>
      <c r="B5" s="9" t="s">
        <v>40</v>
      </c>
      <c r="C5" s="9" t="s">
        <v>16</v>
      </c>
      <c r="D5" s="9" t="s">
        <v>173</v>
      </c>
      <c r="E5" s="9" t="s">
        <v>174</v>
      </c>
      <c r="F5" s="9" t="s">
        <v>175</v>
      </c>
      <c r="G5" s="11">
        <v>5200000</v>
      </c>
      <c r="H5" s="9" t="s">
        <v>176</v>
      </c>
      <c r="I5" s="9">
        <v>85</v>
      </c>
      <c r="J5" s="9" t="s">
        <v>171</v>
      </c>
    </row>
    <row r="6" spans="1:10" x14ac:dyDescent="0.35">
      <c r="A6" s="5" t="s">
        <v>177</v>
      </c>
      <c r="B6" s="5" t="s">
        <v>46</v>
      </c>
      <c r="C6" s="5" t="s">
        <v>16</v>
      </c>
      <c r="D6" s="5" t="s">
        <v>178</v>
      </c>
      <c r="E6" s="5" t="s">
        <v>179</v>
      </c>
      <c r="F6" s="5" t="s">
        <v>180</v>
      </c>
      <c r="G6" s="7">
        <v>3800000</v>
      </c>
      <c r="H6" s="5" t="s">
        <v>181</v>
      </c>
      <c r="I6" s="5">
        <v>62</v>
      </c>
      <c r="J6" s="5" t="s">
        <v>182</v>
      </c>
    </row>
    <row r="7" spans="1:10" x14ac:dyDescent="0.35">
      <c r="A7" s="9" t="s">
        <v>183</v>
      </c>
      <c r="B7" s="9" t="s">
        <v>27</v>
      </c>
      <c r="C7" s="9" t="s">
        <v>16</v>
      </c>
      <c r="D7" s="9" t="s">
        <v>184</v>
      </c>
      <c r="E7" s="9" t="s">
        <v>185</v>
      </c>
      <c r="F7" s="9" t="s">
        <v>186</v>
      </c>
      <c r="G7" s="11">
        <v>2400000</v>
      </c>
      <c r="H7" s="9" t="s">
        <v>187</v>
      </c>
      <c r="I7" s="9">
        <v>45</v>
      </c>
      <c r="J7" s="9" t="s">
        <v>182</v>
      </c>
    </row>
    <row r="8" spans="1:10" x14ac:dyDescent="0.35">
      <c r="A8" s="5" t="s">
        <v>188</v>
      </c>
      <c r="B8" s="5" t="s">
        <v>32</v>
      </c>
      <c r="C8" s="5" t="s">
        <v>16</v>
      </c>
      <c r="D8" s="5" t="s">
        <v>189</v>
      </c>
      <c r="E8" s="5" t="s">
        <v>190</v>
      </c>
      <c r="F8" s="5" t="s">
        <v>191</v>
      </c>
      <c r="G8" s="7">
        <v>1500000</v>
      </c>
      <c r="H8" s="5" t="s">
        <v>192</v>
      </c>
      <c r="I8" s="5">
        <v>28</v>
      </c>
      <c r="J8" s="5" t="s">
        <v>193</v>
      </c>
    </row>
    <row r="9" spans="1:10" x14ac:dyDescent="0.35">
      <c r="A9" s="9" t="s">
        <v>194</v>
      </c>
      <c r="B9" s="9" t="s">
        <v>255</v>
      </c>
      <c r="C9" s="9" t="s">
        <v>21</v>
      </c>
      <c r="D9" s="9" t="s">
        <v>173</v>
      </c>
      <c r="E9" s="9" t="s">
        <v>81</v>
      </c>
      <c r="F9" s="9" t="s">
        <v>195</v>
      </c>
      <c r="G9" s="11">
        <v>180000</v>
      </c>
      <c r="H9" s="9" t="s">
        <v>196</v>
      </c>
      <c r="I9" s="9">
        <v>15</v>
      </c>
      <c r="J9" s="9" t="s">
        <v>193</v>
      </c>
    </row>
    <row r="10" spans="1:10" x14ac:dyDescent="0.35">
      <c r="A10" s="5" t="s">
        <v>197</v>
      </c>
      <c r="B10" s="5" t="s">
        <v>256</v>
      </c>
      <c r="C10" s="5" t="s">
        <v>21</v>
      </c>
      <c r="D10" s="5" t="s">
        <v>198</v>
      </c>
      <c r="E10" s="5" t="s">
        <v>81</v>
      </c>
      <c r="F10" s="5" t="s">
        <v>199</v>
      </c>
      <c r="G10" s="7">
        <v>95000</v>
      </c>
      <c r="H10" s="5" t="s">
        <v>200</v>
      </c>
      <c r="I10" s="5">
        <v>8</v>
      </c>
      <c r="J10" s="5" t="s">
        <v>201</v>
      </c>
    </row>
    <row r="11" spans="1:10" x14ac:dyDescent="0.35">
      <c r="A11" s="9" t="s">
        <v>202</v>
      </c>
      <c r="B11" s="9" t="s">
        <v>246</v>
      </c>
      <c r="C11" s="9" t="s">
        <v>21</v>
      </c>
      <c r="D11" s="9" t="s">
        <v>203</v>
      </c>
      <c r="E11" s="9" t="s">
        <v>81</v>
      </c>
      <c r="F11" s="9" t="s">
        <v>204</v>
      </c>
      <c r="G11" s="11">
        <v>45000</v>
      </c>
      <c r="H11" s="9" t="s">
        <v>205</v>
      </c>
      <c r="I11" s="9">
        <v>4</v>
      </c>
      <c r="J11" s="9" t="s">
        <v>201</v>
      </c>
    </row>
  </sheetData>
  <mergeCells count="2">
    <mergeCell ref="A1:J1"/>
    <mergeCell ref="A2:J2"/>
  </mergeCells>
  <phoneticPr fontId="6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74C3C"/>
  </sheetPr>
  <dimension ref="A1:J15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I19" sqref="I19"/>
    </sheetView>
  </sheetViews>
  <sheetFormatPr defaultColWidth="8.7109375" defaultRowHeight="18" x14ac:dyDescent="0.35"/>
  <cols>
    <col min="1" max="1" width="16" style="2" customWidth="1"/>
    <col min="2" max="2" width="14" style="2" customWidth="1"/>
    <col min="3" max="8" width="12" style="2" customWidth="1"/>
    <col min="9" max="9" width="14" style="2" customWidth="1"/>
    <col min="10" max="10" width="12" style="2" customWidth="1"/>
    <col min="11" max="16384" width="8.7109375" style="2"/>
  </cols>
  <sheetData>
    <row r="1" spans="1:10" ht="21.6" customHeight="1" x14ac:dyDescent="0.35">
      <c r="A1" s="1" t="s">
        <v>259</v>
      </c>
      <c r="B1" s="1"/>
      <c r="C1" s="1"/>
      <c r="D1" s="1"/>
      <c r="E1" s="1"/>
      <c r="F1" s="1"/>
      <c r="G1" s="1"/>
      <c r="H1" s="1"/>
      <c r="I1" s="1"/>
      <c r="J1" s="1"/>
    </row>
    <row r="2" spans="1:10" ht="3.75" customHeight="1" x14ac:dyDescent="0.35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x14ac:dyDescent="0.35">
      <c r="A3" s="4" t="s">
        <v>206</v>
      </c>
      <c r="B3" s="4" t="s">
        <v>207</v>
      </c>
      <c r="C3" s="4" t="s">
        <v>260</v>
      </c>
      <c r="D3" s="4" t="s">
        <v>261</v>
      </c>
      <c r="E3" s="4" t="s">
        <v>262</v>
      </c>
      <c r="F3" s="4" t="s">
        <v>263</v>
      </c>
      <c r="G3" s="4" t="s">
        <v>264</v>
      </c>
      <c r="H3" s="4" t="s">
        <v>265</v>
      </c>
      <c r="I3" s="4" t="s">
        <v>208</v>
      </c>
      <c r="J3" s="4" t="s">
        <v>209</v>
      </c>
    </row>
    <row r="4" spans="1:10" x14ac:dyDescent="0.35">
      <c r="A4" s="20" t="s">
        <v>210</v>
      </c>
      <c r="B4" s="7">
        <v>60000000</v>
      </c>
      <c r="C4" s="7">
        <v>4230000</v>
      </c>
      <c r="D4" s="7">
        <v>4770000</v>
      </c>
      <c r="E4" s="7">
        <v>5060000</v>
      </c>
      <c r="F4" s="7">
        <v>5600000</v>
      </c>
      <c r="G4" s="7">
        <v>5950000</v>
      </c>
      <c r="H4" s="7">
        <v>5200000</v>
      </c>
      <c r="I4" s="7">
        <f t="shared" ref="I4:I15" si="0">SUM(C4:H4)</f>
        <v>30810000</v>
      </c>
      <c r="J4" s="15">
        <f t="shared" ref="J4:J15" si="1">IF(B4=0,0,I4/(B4/2))</f>
        <v>1.0269999999999999</v>
      </c>
    </row>
    <row r="5" spans="1:10" x14ac:dyDescent="0.35">
      <c r="A5" s="9" t="s">
        <v>266</v>
      </c>
      <c r="B5" s="11">
        <v>28000000</v>
      </c>
      <c r="C5" s="11">
        <v>1980000</v>
      </c>
      <c r="D5" s="11">
        <v>2250000</v>
      </c>
      <c r="E5" s="11">
        <v>2380000</v>
      </c>
      <c r="F5" s="11">
        <v>2650000</v>
      </c>
      <c r="G5" s="11">
        <v>2800000</v>
      </c>
      <c r="H5" s="11">
        <v>2450000</v>
      </c>
      <c r="I5" s="11">
        <f t="shared" si="0"/>
        <v>14510000</v>
      </c>
      <c r="J5" s="16">
        <f t="shared" si="1"/>
        <v>1.0364285714285715</v>
      </c>
    </row>
    <row r="6" spans="1:10" x14ac:dyDescent="0.35">
      <c r="A6" s="5" t="s">
        <v>211</v>
      </c>
      <c r="B6" s="7">
        <v>14000000</v>
      </c>
      <c r="C6" s="7">
        <v>960000</v>
      </c>
      <c r="D6" s="7">
        <v>1100000</v>
      </c>
      <c r="E6" s="7">
        <v>1180000</v>
      </c>
      <c r="F6" s="7">
        <v>1300000</v>
      </c>
      <c r="G6" s="7">
        <v>1400000</v>
      </c>
      <c r="H6" s="7">
        <v>1200000</v>
      </c>
      <c r="I6" s="7">
        <f t="shared" si="0"/>
        <v>7140000</v>
      </c>
      <c r="J6" s="15">
        <f t="shared" si="1"/>
        <v>1.02</v>
      </c>
    </row>
    <row r="7" spans="1:10" x14ac:dyDescent="0.35">
      <c r="A7" s="9" t="s">
        <v>212</v>
      </c>
      <c r="B7" s="11">
        <v>18000000</v>
      </c>
      <c r="C7" s="11">
        <v>1250000</v>
      </c>
      <c r="D7" s="11">
        <v>1420000</v>
      </c>
      <c r="E7" s="11">
        <v>1500000</v>
      </c>
      <c r="F7" s="11">
        <v>1650000</v>
      </c>
      <c r="G7" s="11">
        <v>1750000</v>
      </c>
      <c r="H7" s="11">
        <v>1550000</v>
      </c>
      <c r="I7" s="11">
        <f t="shared" si="0"/>
        <v>9120000</v>
      </c>
      <c r="J7" s="16">
        <f t="shared" si="1"/>
        <v>1.0133333333333334</v>
      </c>
    </row>
    <row r="8" spans="1:10" x14ac:dyDescent="0.35">
      <c r="A8" s="20" t="s">
        <v>73</v>
      </c>
      <c r="B8" s="7">
        <v>34800000</v>
      </c>
      <c r="C8" s="7">
        <v>2453000</v>
      </c>
      <c r="D8" s="7">
        <v>2767000</v>
      </c>
      <c r="E8" s="7">
        <v>2935000</v>
      </c>
      <c r="F8" s="7">
        <v>3248000</v>
      </c>
      <c r="G8" s="7">
        <v>3451000</v>
      </c>
      <c r="H8" s="7">
        <v>3016000</v>
      </c>
      <c r="I8" s="7">
        <f t="shared" si="0"/>
        <v>17870000</v>
      </c>
      <c r="J8" s="15">
        <f t="shared" si="1"/>
        <v>1.0270114942528736</v>
      </c>
    </row>
    <row r="9" spans="1:10" x14ac:dyDescent="0.35">
      <c r="A9" s="21" t="s">
        <v>74</v>
      </c>
      <c r="B9" s="11">
        <v>25200000</v>
      </c>
      <c r="C9" s="11">
        <v>1777000</v>
      </c>
      <c r="D9" s="11">
        <v>2003000</v>
      </c>
      <c r="E9" s="11">
        <v>2125000</v>
      </c>
      <c r="F9" s="11">
        <v>2352000</v>
      </c>
      <c r="G9" s="11">
        <v>2499000</v>
      </c>
      <c r="H9" s="11">
        <v>2184000</v>
      </c>
      <c r="I9" s="11">
        <f t="shared" si="0"/>
        <v>12940000</v>
      </c>
      <c r="J9" s="16">
        <f t="shared" si="1"/>
        <v>1.0269841269841269</v>
      </c>
    </row>
    <row r="10" spans="1:10" x14ac:dyDescent="0.35">
      <c r="A10" s="20" t="s">
        <v>213</v>
      </c>
      <c r="B10" s="7">
        <v>15000000</v>
      </c>
      <c r="C10" s="7">
        <v>1058000</v>
      </c>
      <c r="D10" s="7">
        <v>1193000</v>
      </c>
      <c r="E10" s="7">
        <v>1265000</v>
      </c>
      <c r="F10" s="7">
        <v>1400000</v>
      </c>
      <c r="G10" s="7">
        <v>1488000</v>
      </c>
      <c r="H10" s="7">
        <v>1300000</v>
      </c>
      <c r="I10" s="7">
        <f t="shared" si="0"/>
        <v>7704000</v>
      </c>
      <c r="J10" s="15">
        <f t="shared" si="1"/>
        <v>1.0271999999999999</v>
      </c>
    </row>
    <row r="11" spans="1:10" x14ac:dyDescent="0.35">
      <c r="A11" s="9" t="s">
        <v>214</v>
      </c>
      <c r="B11" s="11">
        <v>8400000</v>
      </c>
      <c r="C11" s="11">
        <v>700000</v>
      </c>
      <c r="D11" s="11">
        <v>700000</v>
      </c>
      <c r="E11" s="11">
        <v>700000</v>
      </c>
      <c r="F11" s="11">
        <v>700000</v>
      </c>
      <c r="G11" s="11">
        <v>700000</v>
      </c>
      <c r="H11" s="11">
        <v>700000</v>
      </c>
      <c r="I11" s="11">
        <f t="shared" si="0"/>
        <v>4200000</v>
      </c>
      <c r="J11" s="16">
        <f t="shared" si="1"/>
        <v>1</v>
      </c>
    </row>
    <row r="12" spans="1:10" x14ac:dyDescent="0.35">
      <c r="A12" s="5" t="s">
        <v>215</v>
      </c>
      <c r="B12" s="7">
        <v>3600000</v>
      </c>
      <c r="C12" s="7">
        <v>250000</v>
      </c>
      <c r="D12" s="7">
        <v>310000</v>
      </c>
      <c r="E12" s="7">
        <v>340000</v>
      </c>
      <c r="F12" s="7">
        <v>380000</v>
      </c>
      <c r="G12" s="7">
        <v>410000</v>
      </c>
      <c r="H12" s="7">
        <v>350000</v>
      </c>
      <c r="I12" s="7">
        <f t="shared" si="0"/>
        <v>2040000</v>
      </c>
      <c r="J12" s="15">
        <f t="shared" si="1"/>
        <v>1.1333333333333333</v>
      </c>
    </row>
    <row r="13" spans="1:10" x14ac:dyDescent="0.35">
      <c r="A13" s="9" t="s">
        <v>216</v>
      </c>
      <c r="B13" s="11">
        <v>1800000</v>
      </c>
      <c r="C13" s="11">
        <v>80000</v>
      </c>
      <c r="D13" s="11">
        <v>120000</v>
      </c>
      <c r="E13" s="11">
        <v>150000</v>
      </c>
      <c r="F13" s="11">
        <v>200000</v>
      </c>
      <c r="G13" s="11">
        <v>250000</v>
      </c>
      <c r="H13" s="11">
        <v>150000</v>
      </c>
      <c r="I13" s="11">
        <f t="shared" si="0"/>
        <v>950000</v>
      </c>
      <c r="J13" s="16">
        <f t="shared" si="1"/>
        <v>1.0555555555555556</v>
      </c>
    </row>
    <row r="14" spans="1:10" x14ac:dyDescent="0.35">
      <c r="A14" s="5" t="s">
        <v>217</v>
      </c>
      <c r="B14" s="7">
        <v>1200000</v>
      </c>
      <c r="C14" s="7">
        <v>28000</v>
      </c>
      <c r="D14" s="7">
        <v>63000</v>
      </c>
      <c r="E14" s="7">
        <v>75000</v>
      </c>
      <c r="F14" s="7">
        <v>120000</v>
      </c>
      <c r="G14" s="7">
        <v>128000</v>
      </c>
      <c r="H14" s="7">
        <v>100000</v>
      </c>
      <c r="I14" s="7">
        <f t="shared" si="0"/>
        <v>514000</v>
      </c>
      <c r="J14" s="15">
        <f t="shared" si="1"/>
        <v>0.85666666666666669</v>
      </c>
    </row>
    <row r="15" spans="1:10" x14ac:dyDescent="0.35">
      <c r="A15" s="21" t="s">
        <v>77</v>
      </c>
      <c r="B15" s="11">
        <v>10200000</v>
      </c>
      <c r="C15" s="11">
        <v>719000</v>
      </c>
      <c r="D15" s="11">
        <v>810000</v>
      </c>
      <c r="E15" s="11">
        <v>860000</v>
      </c>
      <c r="F15" s="11">
        <v>952000</v>
      </c>
      <c r="G15" s="11">
        <v>1011000</v>
      </c>
      <c r="H15" s="11">
        <v>884000</v>
      </c>
      <c r="I15" s="11">
        <f t="shared" si="0"/>
        <v>5236000</v>
      </c>
      <c r="J15" s="16">
        <f t="shared" si="1"/>
        <v>1.0266666666666666</v>
      </c>
    </row>
  </sheetData>
  <mergeCells count="2">
    <mergeCell ref="A1:J1"/>
    <mergeCell ref="A2:J2"/>
  </mergeCells>
  <phoneticPr fontId="6"/>
  <conditionalFormatting sqref="J4:J15">
    <cfRule type="cellIs" dxfId="1" priority="2" operator="greaterThanOrEqual">
      <formula>1</formula>
    </cfRule>
    <cfRule type="cellIs" dxfId="0" priority="3" operator="lessThan">
      <formula>0.9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5A5A6"/>
  </sheetPr>
  <dimension ref="A1:H25"/>
  <sheetViews>
    <sheetView zoomScaleNormal="100" workbookViewId="0">
      <selection activeCell="D11" sqref="D11"/>
    </sheetView>
  </sheetViews>
  <sheetFormatPr defaultColWidth="8.7109375" defaultRowHeight="18" x14ac:dyDescent="0.35"/>
  <cols>
    <col min="1" max="1" width="18" style="2" customWidth="1"/>
    <col min="2" max="2" width="80" style="2" customWidth="1"/>
    <col min="3" max="16384" width="8.7109375" style="2"/>
  </cols>
  <sheetData>
    <row r="1" spans="1:8" ht="21.6" customHeight="1" x14ac:dyDescent="0.35">
      <c r="A1" s="1" t="s">
        <v>218</v>
      </c>
      <c r="B1" s="1"/>
      <c r="C1" s="1"/>
      <c r="D1" s="1"/>
      <c r="E1" s="1"/>
      <c r="F1" s="1"/>
      <c r="G1" s="1"/>
      <c r="H1" s="1"/>
    </row>
    <row r="2" spans="1:8" ht="3.75" customHeight="1" x14ac:dyDescent="0.35">
      <c r="A2" s="3"/>
      <c r="B2" s="3"/>
      <c r="C2" s="3"/>
      <c r="D2" s="3"/>
      <c r="E2" s="3"/>
      <c r="F2" s="3"/>
      <c r="G2" s="3"/>
      <c r="H2" s="3"/>
    </row>
    <row r="4" spans="1:8" x14ac:dyDescent="0.35">
      <c r="A4" s="22" t="s">
        <v>219</v>
      </c>
      <c r="B4" s="22"/>
      <c r="C4" s="22"/>
      <c r="D4" s="22"/>
      <c r="E4" s="22"/>
      <c r="F4" s="22"/>
      <c r="G4" s="22"/>
      <c r="H4" s="22"/>
    </row>
    <row r="5" spans="1:8" ht="15" customHeight="1" x14ac:dyDescent="0.35">
      <c r="A5" s="23" t="s">
        <v>220</v>
      </c>
      <c r="B5" s="24" t="s">
        <v>267</v>
      </c>
      <c r="C5" s="24"/>
      <c r="D5" s="24"/>
      <c r="E5" s="24"/>
      <c r="F5" s="24"/>
      <c r="G5" s="24"/>
      <c r="H5" s="24"/>
    </row>
    <row r="6" spans="1:8" ht="15" customHeight="1" x14ac:dyDescent="0.35">
      <c r="A6" s="23" t="s">
        <v>221</v>
      </c>
      <c r="B6" s="24" t="s">
        <v>222</v>
      </c>
      <c r="C6" s="24"/>
      <c r="D6" s="24"/>
      <c r="E6" s="24"/>
      <c r="F6" s="24"/>
      <c r="G6" s="24"/>
      <c r="H6" s="24"/>
    </row>
    <row r="7" spans="1:8" ht="15" customHeight="1" x14ac:dyDescent="0.35">
      <c r="A7" s="23" t="s">
        <v>223</v>
      </c>
      <c r="B7" s="24" t="s">
        <v>268</v>
      </c>
      <c r="C7" s="24"/>
      <c r="D7" s="24"/>
      <c r="E7" s="24"/>
      <c r="F7" s="24"/>
      <c r="G7" s="24"/>
      <c r="H7" s="24"/>
    </row>
    <row r="8" spans="1:8" ht="15" customHeight="1" x14ac:dyDescent="0.35">
      <c r="A8" s="23" t="s">
        <v>145</v>
      </c>
      <c r="B8" s="24" t="s">
        <v>269</v>
      </c>
      <c r="C8" s="24"/>
      <c r="D8" s="24"/>
      <c r="E8" s="24"/>
      <c r="F8" s="24"/>
      <c r="G8" s="24"/>
      <c r="H8" s="24"/>
    </row>
    <row r="9" spans="1:8" ht="15" customHeight="1" x14ac:dyDescent="0.35">
      <c r="A9" s="23" t="s">
        <v>157</v>
      </c>
      <c r="B9" s="24" t="s">
        <v>270</v>
      </c>
      <c r="C9" s="24"/>
      <c r="D9" s="24"/>
      <c r="E9" s="24"/>
      <c r="F9" s="24"/>
      <c r="G9" s="24"/>
      <c r="H9" s="24"/>
    </row>
    <row r="10" spans="1:8" ht="15" customHeight="1" x14ac:dyDescent="0.35">
      <c r="A10" s="23" t="s">
        <v>224</v>
      </c>
      <c r="B10" s="24" t="s">
        <v>225</v>
      </c>
      <c r="C10" s="24"/>
      <c r="D10" s="24"/>
      <c r="E10" s="24"/>
      <c r="F10" s="24"/>
      <c r="G10" s="24"/>
      <c r="H10" s="24"/>
    </row>
    <row r="12" spans="1:8" x14ac:dyDescent="0.35">
      <c r="A12" s="22" t="s">
        <v>226</v>
      </c>
      <c r="B12" s="22"/>
      <c r="C12" s="22"/>
      <c r="D12" s="22"/>
      <c r="E12" s="22"/>
      <c r="F12" s="22"/>
      <c r="G12" s="22"/>
      <c r="H12" s="22"/>
    </row>
    <row r="13" spans="1:8" ht="15" customHeight="1" x14ac:dyDescent="0.35">
      <c r="A13" s="23" t="s">
        <v>227</v>
      </c>
      <c r="B13" s="24" t="s">
        <v>271</v>
      </c>
      <c r="C13" s="24"/>
      <c r="D13" s="24"/>
      <c r="E13" s="24"/>
      <c r="F13" s="24"/>
      <c r="G13" s="24"/>
      <c r="H13" s="24"/>
    </row>
    <row r="14" spans="1:8" ht="15" customHeight="1" x14ac:dyDescent="0.35">
      <c r="A14" s="23" t="s">
        <v>228</v>
      </c>
      <c r="B14" s="24" t="s">
        <v>229</v>
      </c>
      <c r="C14" s="24"/>
      <c r="D14" s="24"/>
      <c r="E14" s="24"/>
      <c r="F14" s="24"/>
      <c r="G14" s="24"/>
      <c r="H14" s="24"/>
    </row>
    <row r="15" spans="1:8" ht="15" customHeight="1" x14ac:dyDescent="0.35">
      <c r="A15" s="23" t="s">
        <v>230</v>
      </c>
      <c r="B15" s="24" t="s">
        <v>272</v>
      </c>
      <c r="C15" s="24"/>
      <c r="D15" s="24"/>
      <c r="E15" s="24"/>
      <c r="F15" s="24"/>
      <c r="G15" s="24"/>
      <c r="H15" s="24"/>
    </row>
    <row r="17" spans="1:8" x14ac:dyDescent="0.35">
      <c r="A17" s="22" t="s">
        <v>231</v>
      </c>
      <c r="B17" s="22"/>
      <c r="C17" s="22"/>
      <c r="D17" s="22"/>
      <c r="E17" s="22"/>
      <c r="F17" s="22"/>
      <c r="G17" s="22"/>
      <c r="H17" s="22"/>
    </row>
    <row r="18" spans="1:8" ht="15" customHeight="1" x14ac:dyDescent="0.35">
      <c r="A18" s="23" t="s">
        <v>232</v>
      </c>
      <c r="B18" s="24" t="s">
        <v>233</v>
      </c>
      <c r="C18" s="24"/>
      <c r="D18" s="24"/>
      <c r="E18" s="24"/>
      <c r="F18" s="24"/>
      <c r="G18" s="24"/>
      <c r="H18" s="24"/>
    </row>
    <row r="19" spans="1:8" ht="15" customHeight="1" x14ac:dyDescent="0.35">
      <c r="A19" s="23" t="s">
        <v>234</v>
      </c>
      <c r="B19" s="24" t="s">
        <v>235</v>
      </c>
      <c r="C19" s="24"/>
      <c r="D19" s="24"/>
      <c r="E19" s="24"/>
      <c r="F19" s="24"/>
      <c r="G19" s="24"/>
      <c r="H19" s="24"/>
    </row>
    <row r="20" spans="1:8" ht="15" customHeight="1" x14ac:dyDescent="0.35">
      <c r="A20" s="23" t="s">
        <v>236</v>
      </c>
      <c r="B20" s="24" t="s">
        <v>237</v>
      </c>
      <c r="C20" s="24"/>
      <c r="D20" s="24"/>
      <c r="E20" s="24"/>
      <c r="F20" s="24"/>
      <c r="G20" s="24"/>
      <c r="H20" s="24"/>
    </row>
    <row r="22" spans="1:8" x14ac:dyDescent="0.35">
      <c r="A22" s="22" t="s">
        <v>238</v>
      </c>
      <c r="B22" s="22"/>
      <c r="C22" s="22"/>
      <c r="D22" s="22"/>
      <c r="E22" s="22"/>
      <c r="F22" s="22"/>
      <c r="G22" s="22"/>
      <c r="H22" s="22"/>
    </row>
    <row r="23" spans="1:8" ht="15" customHeight="1" x14ac:dyDescent="0.35">
      <c r="A23" s="23" t="s">
        <v>239</v>
      </c>
      <c r="B23" s="24" t="s">
        <v>240</v>
      </c>
      <c r="C23" s="24"/>
      <c r="D23" s="24"/>
      <c r="E23" s="24"/>
      <c r="F23" s="24"/>
      <c r="G23" s="24"/>
      <c r="H23" s="24"/>
    </row>
    <row r="24" spans="1:8" ht="15" customHeight="1" x14ac:dyDescent="0.35">
      <c r="A24" s="23" t="s">
        <v>241</v>
      </c>
      <c r="B24" s="24" t="s">
        <v>242</v>
      </c>
      <c r="C24" s="24"/>
      <c r="D24" s="24"/>
      <c r="E24" s="24"/>
      <c r="F24" s="24"/>
      <c r="G24" s="24"/>
      <c r="H24" s="24"/>
    </row>
    <row r="25" spans="1:8" ht="15" customHeight="1" x14ac:dyDescent="0.35">
      <c r="A25" s="23" t="s">
        <v>273</v>
      </c>
      <c r="B25" s="24" t="s">
        <v>243</v>
      </c>
      <c r="C25" s="24"/>
      <c r="D25" s="24"/>
      <c r="E25" s="24"/>
      <c r="F25" s="24"/>
      <c r="G25" s="24"/>
      <c r="H25" s="24"/>
    </row>
  </sheetData>
  <mergeCells count="21">
    <mergeCell ref="B25:H25"/>
    <mergeCell ref="B19:H19"/>
    <mergeCell ref="B20:H20"/>
    <mergeCell ref="A22:H22"/>
    <mergeCell ref="B23:H23"/>
    <mergeCell ref="B24:H24"/>
    <mergeCell ref="B13:H13"/>
    <mergeCell ref="B14:H14"/>
    <mergeCell ref="B15:H15"/>
    <mergeCell ref="A17:H17"/>
    <mergeCell ref="B18:H18"/>
    <mergeCell ref="B7:H7"/>
    <mergeCell ref="B8:H8"/>
    <mergeCell ref="B9:H9"/>
    <mergeCell ref="B10:H10"/>
    <mergeCell ref="A12:H12"/>
    <mergeCell ref="A1:H1"/>
    <mergeCell ref="A2:H2"/>
    <mergeCell ref="A4:H4"/>
    <mergeCell ref="B5:H5"/>
    <mergeCell ref="B6:H6"/>
  </mergeCells>
  <phoneticPr fontId="6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受注管理</vt:lpstr>
      <vt:lpstr>売上管理</vt:lpstr>
      <vt:lpstr>仕入管理</vt:lpstr>
      <vt:lpstr>商品マスタ</vt:lpstr>
      <vt:lpstr>顧客マスタ</vt:lpstr>
      <vt:lpstr>予算実績対比</vt:lpstr>
      <vt:lpstr>使い方ガイド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香織 本橋</cp:lastModifiedBy>
  <cp:revision>1</cp:revision>
  <dcterms:created xsi:type="dcterms:W3CDTF">2026-02-21T11:43:50Z</dcterms:created>
  <dcterms:modified xsi:type="dcterms:W3CDTF">2026-02-21T11:52:24Z</dcterms:modified>
  <dc:language>en-US</dc:language>
</cp:coreProperties>
</file>
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01a0ff367fd0ad/デスクトップ/Bondia/dx_20260220/"/>
    </mc:Choice>
  </mc:AlternateContent>
  <xr:revisionPtr revIDLastSave="0" documentId="8_{BF2D0A16-4DAA-4B2A-8F82-282A3A1BEAD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経営ダッシュボード" sheetId="1" r:id="rId1"/>
    <sheet name="チャネル分析" sheetId="2" r:id="rId2"/>
    <sheet name="商品分析" sheetId="3" r:id="rId3"/>
    <sheet name="KPI目標管理" sheetId="4" r:id="rId4"/>
    <sheet name="コスト管理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7" i="5" l="1"/>
  <c r="J27" i="5"/>
  <c r="I27" i="5"/>
  <c r="H27" i="5"/>
  <c r="G27" i="5"/>
  <c r="F27" i="5"/>
  <c r="E27" i="5"/>
  <c r="D27" i="5"/>
  <c r="C27" i="5"/>
  <c r="D17" i="5"/>
  <c r="G15" i="5" s="1"/>
  <c r="C17" i="5"/>
  <c r="F16" i="5"/>
  <c r="E16" i="5"/>
  <c r="F15" i="5"/>
  <c r="E15" i="5"/>
  <c r="G14" i="5"/>
  <c r="F14" i="5"/>
  <c r="E14" i="5"/>
  <c r="F13" i="5"/>
  <c r="E13" i="5"/>
  <c r="F12" i="5"/>
  <c r="E12" i="5"/>
  <c r="F11" i="5"/>
  <c r="E11" i="5"/>
  <c r="G10" i="5"/>
  <c r="F10" i="5"/>
  <c r="E10" i="5"/>
  <c r="F9" i="5"/>
  <c r="E9" i="5"/>
  <c r="F8" i="5"/>
  <c r="E8" i="5"/>
  <c r="F7" i="5"/>
  <c r="E7" i="5"/>
  <c r="G6" i="5"/>
  <c r="F6" i="5"/>
  <c r="E6" i="5"/>
  <c r="F14" i="3"/>
  <c r="G14" i="3" s="1"/>
  <c r="E14" i="3"/>
  <c r="D14" i="3"/>
  <c r="O32" i="2"/>
  <c r="N32" i="2"/>
  <c r="M32" i="2"/>
  <c r="L32" i="2"/>
  <c r="K32" i="2"/>
  <c r="J32" i="2"/>
  <c r="I32" i="2"/>
  <c r="H32" i="2"/>
  <c r="G32" i="2"/>
  <c r="F32" i="2"/>
  <c r="E32" i="2"/>
  <c r="O31" i="2"/>
  <c r="N31" i="2"/>
  <c r="M31" i="2"/>
  <c r="L31" i="2"/>
  <c r="K31" i="2"/>
  <c r="J31" i="2"/>
  <c r="I31" i="2"/>
  <c r="H31" i="2"/>
  <c r="G31" i="2"/>
  <c r="F31" i="2"/>
  <c r="E31" i="2"/>
  <c r="O30" i="2"/>
  <c r="N30" i="2"/>
  <c r="M30" i="2"/>
  <c r="L30" i="2"/>
  <c r="K30" i="2"/>
  <c r="J30" i="2"/>
  <c r="I30" i="2"/>
  <c r="H30" i="2"/>
  <c r="G30" i="2"/>
  <c r="F30" i="2"/>
  <c r="E30" i="2"/>
  <c r="M19" i="1"/>
  <c r="M20" i="1" s="1"/>
  <c r="M21" i="1" s="1"/>
  <c r="I19" i="1"/>
  <c r="I20" i="1" s="1"/>
  <c r="I21" i="1" s="1"/>
  <c r="E19" i="1"/>
  <c r="E20" i="1" s="1"/>
  <c r="E21" i="1" s="1"/>
  <c r="N18" i="1"/>
  <c r="M18" i="1"/>
  <c r="L18" i="1"/>
  <c r="L19" i="1" s="1"/>
  <c r="L20" i="1" s="1"/>
  <c r="L21" i="1" s="1"/>
  <c r="K18" i="1"/>
  <c r="J18" i="1"/>
  <c r="I18" i="1"/>
  <c r="H18" i="1"/>
  <c r="H19" i="1" s="1"/>
  <c r="H20" i="1" s="1"/>
  <c r="H21" i="1" s="1"/>
  <c r="G18" i="1"/>
  <c r="F18" i="1"/>
  <c r="E18" i="1"/>
  <c r="D18" i="1"/>
  <c r="D19" i="1" s="1"/>
  <c r="D20" i="1" s="1"/>
  <c r="D21" i="1" s="1"/>
  <c r="C18" i="1"/>
  <c r="O17" i="1"/>
  <c r="O16" i="1"/>
  <c r="O15" i="1"/>
  <c r="C20" i="1" l="1"/>
  <c r="O18" i="1"/>
  <c r="F19" i="1"/>
  <c r="F20" i="1" s="1"/>
  <c r="F21" i="1" s="1"/>
  <c r="J19" i="1"/>
  <c r="N19" i="1"/>
  <c r="G9" i="5"/>
  <c r="G13" i="5"/>
  <c r="E17" i="5"/>
  <c r="C19" i="1"/>
  <c r="G19" i="1"/>
  <c r="G20" i="1" s="1"/>
  <c r="G21" i="1" s="1"/>
  <c r="K19" i="1"/>
  <c r="K20" i="1" s="1"/>
  <c r="K21" i="1" s="1"/>
  <c r="J20" i="1"/>
  <c r="J21" i="1" s="1"/>
  <c r="N20" i="1"/>
  <c r="N21" i="1" s="1"/>
  <c r="G8" i="5"/>
  <c r="G12" i="5"/>
  <c r="G16" i="5"/>
  <c r="F17" i="5"/>
  <c r="G7" i="5"/>
  <c r="G11" i="5"/>
  <c r="O20" i="1" l="1"/>
  <c r="C21" i="1"/>
  <c r="O21" i="1"/>
  <c r="O19" i="1"/>
</calcChain>
</file>

<file path=xl/sharedStrings.xml><?xml version="1.0" encoding="utf-8"?>
<sst xmlns="http://schemas.openxmlformats.org/spreadsheetml/2006/main" count="280" uniqueCount="185">
  <si>
    <t>当月売上</t>
  </si>
  <si>
    <t>粗利率</t>
  </si>
  <si>
    <t>営業利益</t>
  </si>
  <si>
    <t>月間受注件数</t>
  </si>
  <si>
    <t>▎ 月次売上推移</t>
  </si>
  <si>
    <t>合計</t>
  </si>
  <si>
    <t>実店舗売上</t>
  </si>
  <si>
    <t>卸売売上</t>
  </si>
  <si>
    <t>売上合計</t>
  </si>
  <si>
    <t>売上原価</t>
  </si>
  <si>
    <t>粗利益</t>
  </si>
  <si>
    <t>目標粗利率</t>
  </si>
  <si>
    <t>チャネル別分析ダッシュボード</t>
  </si>
  <si>
    <t>▎ チャネル別年間実績</t>
  </si>
  <si>
    <t>実店舗売上（年間）</t>
  </si>
  <si>
    <t>卸売売上（年間）</t>
  </si>
  <si>
    <t>指標</t>
  </si>
  <si>
    <t>実店舗</t>
  </si>
  <si>
    <t>卸売</t>
  </si>
  <si>
    <t>全社平均</t>
  </si>
  <si>
    <t>年間売上</t>
  </si>
  <si>
    <t>平均客単価</t>
  </si>
  <si>
    <t>リピート率</t>
  </si>
  <si>
    <t>顧客獲得コスト</t>
  </si>
  <si>
    <t>▎ チャネル別月次推移</t>
  </si>
  <si>
    <t>チャネル</t>
  </si>
  <si>
    <t>▎ 前月比成長率</t>
  </si>
  <si>
    <t>-</t>
  </si>
  <si>
    <t>商品別分析ダッシュボード</t>
  </si>
  <si>
    <t>▎ 商品別売上・利益ランキング</t>
  </si>
  <si>
    <t>順位</t>
  </si>
  <si>
    <t>商品名</t>
  </si>
  <si>
    <t>販売数量</t>
  </si>
  <si>
    <t>売上金額</t>
  </si>
  <si>
    <t>粗利金額</t>
  </si>
  <si>
    <t>売上構成比</t>
  </si>
  <si>
    <t>累積構成比</t>
  </si>
  <si>
    <t>ランク</t>
  </si>
  <si>
    <t>基準</t>
  </si>
  <si>
    <t>商品数</t>
  </si>
  <si>
    <t>管理方針</t>
  </si>
  <si>
    <t>A</t>
  </si>
  <si>
    <t>重点管理：在庫切れ防止、品質管理強化</t>
  </si>
  <si>
    <t>B</t>
  </si>
  <si>
    <t>標準管理：定期的な在庫確認</t>
  </si>
  <si>
    <t>C</t>
  </si>
  <si>
    <t>簡易管理：必要最低限の在庫維持</t>
  </si>
  <si>
    <t>カテゴリ</t>
  </si>
  <si>
    <t>目標値</t>
  </si>
  <si>
    <t>現在値</t>
  </si>
  <si>
    <t>達成率</t>
  </si>
  <si>
    <t>状況</t>
  </si>
  <si>
    <t>担当</t>
  </si>
  <si>
    <t>計測頻度</t>
  </si>
  <si>
    <t>年間売上高</t>
  </si>
  <si>
    <t>売上</t>
  </si>
  <si>
    <t>◎</t>
  </si>
  <si>
    <t>営業部</t>
  </si>
  <si>
    <t>月次</t>
  </si>
  <si>
    <t>50%</t>
  </si>
  <si>
    <t>47.3%</t>
  </si>
  <si>
    <t>○</t>
  </si>
  <si>
    <t>利益</t>
  </si>
  <si>
    <t>42%</t>
  </si>
  <si>
    <t>42.0%</t>
  </si>
  <si>
    <t>経理</t>
  </si>
  <si>
    <t>営業利益率</t>
  </si>
  <si>
    <t>17%</t>
  </si>
  <si>
    <t>16.7%</t>
  </si>
  <si>
    <t>受注</t>
  </si>
  <si>
    <t>△</t>
  </si>
  <si>
    <t>顧客</t>
  </si>
  <si>
    <t>60%</t>
  </si>
  <si>
    <t>55%</t>
  </si>
  <si>
    <t>四半期</t>
  </si>
  <si>
    <t>在庫回転率</t>
  </si>
  <si>
    <t>在庫</t>
  </si>
  <si>
    <t>購買</t>
  </si>
  <si>
    <t>新規顧客獲得数</t>
  </si>
  <si>
    <t>マーケ</t>
  </si>
  <si>
    <t>顧客満足度</t>
  </si>
  <si>
    <t>4.5/5.0</t>
  </si>
  <si>
    <t>4.3/5.0</t>
  </si>
  <si>
    <t>CS</t>
  </si>
  <si>
    <t>▎ カテゴリ別達成サマリー</t>
  </si>
  <si>
    <t>×</t>
  </si>
  <si>
    <t>平均達成率</t>
  </si>
  <si>
    <t>▎ 改善アクション</t>
  </si>
  <si>
    <t>優先度</t>
  </si>
  <si>
    <t>KPI</t>
  </si>
  <si>
    <t>課題</t>
  </si>
  <si>
    <t>アクション</t>
  </si>
  <si>
    <t>期限</t>
  </si>
  <si>
    <t>高</t>
  </si>
  <si>
    <t>中</t>
  </si>
  <si>
    <t>需要予測精度の向上、発注サイクル最適化</t>
  </si>
  <si>
    <t>低</t>
  </si>
  <si>
    <t>改善余地あり</t>
  </si>
  <si>
    <t>会員向けクーポン施策、メルマガ改善</t>
  </si>
  <si>
    <t>コスト管理ダッシュボード</t>
  </si>
  <si>
    <t>▎ コスト構成（年間）</t>
  </si>
  <si>
    <t>費目</t>
  </si>
  <si>
    <t>年間予算</t>
  </si>
  <si>
    <t>年間実績</t>
  </si>
  <si>
    <t>差異</t>
  </si>
  <si>
    <t>構成比</t>
  </si>
  <si>
    <t>原材料費</t>
  </si>
  <si>
    <t>加工費</t>
  </si>
  <si>
    <t>包装資材費</t>
  </si>
  <si>
    <t>物流費（配送）</t>
  </si>
  <si>
    <t>物流費（倉庫）</t>
  </si>
  <si>
    <t>人件費</t>
  </si>
  <si>
    <t>広告宣伝費</t>
  </si>
  <si>
    <t>店舗運営費</t>
  </si>
  <si>
    <t>通信費・事務費</t>
  </si>
  <si>
    <t>その他</t>
  </si>
  <si>
    <t>▎ 月次コスト推移</t>
  </si>
  <si>
    <t>物流費</t>
  </si>
  <si>
    <t>経営ダッシュボード — クライアント企業A社</t>
  </si>
  <si>
    <t>対象期間：2025年度（1月〜12月）</t>
  </si>
  <si>
    <t>最終更新：2025/02/16</t>
  </si>
  <si>
    <t>▎ 主要KPI（当月実績）</t>
  </si>
  <si>
    <t>円  前月比: +4.2%</t>
  </si>
  <si>
    <t xml:space="preserve">  目標: 42.0%</t>
  </si>
  <si>
    <t>円  前月比: +2.8%</t>
  </si>
  <si>
    <t>件  前月比: +12件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</si>
  <si>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</si>
  <si>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</si>
  <si>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</si>
  <si>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</si>
  <si>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</si>
  <si>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</si>
  <si>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</si>
  <si>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</si>
  <si>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</si>
  <si>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</si>
  <si>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</si>
  <si>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</si>
  <si>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EC売上</t>
  </si>
  <si>
    <t>EC売上（年間）</t>
  </si>
  <si>
    <t>円  構成比: 47.3%</t>
  </si>
  <si>
    <t>円  構成比: 23.5%</t>
  </si>
  <si>
    <t>円  構成比: 29.2%</t>
  </si>
  <si>
    <t>▎ チャネル別KPI比較</t>
  </si>
  <si>
    <t>ECサイト</t>
  </si>
  <si>
    <t>LTV（推定）</t>
  </si>
  <si>
    <t>焼き海苔 100枚</t>
  </si>
  <si>
    <t>昆布だしパック 30袋</t>
  </si>
  <si>
    <t>味付け海苔 50枚</t>
  </si>
  <si>
    <t>干しエビ 150g</t>
  </si>
  <si>
    <t>塩蔵わかめ 500g</t>
  </si>
  <si>
    <t>煮干し 500g</t>
  </si>
  <si>
    <t>しらす干し 300g</t>
  </si>
  <si>
    <t>天日干しひじき 200g</t>
  </si>
  <si>
    <t>▎ ABC分析</t>
  </si>
  <si>
    <t>累積構成比 70%以内</t>
  </si>
  <si>
    <t>累積構成比 70〜90%</t>
  </si>
  <si>
    <t>累積構成比 90%以上</t>
  </si>
  <si>
    <t>KPI目標管理シート — 2025年度</t>
  </si>
  <si>
    <t>▎ 重点KPI一覧と達成状況</t>
  </si>
  <si>
    <t>KPI名</t>
  </si>
  <si>
    <t>60,000,000円</t>
  </si>
  <si>
    <t>59,430,000円</t>
  </si>
  <si>
    <t>EC売上比率</t>
  </si>
  <si>
    <t>EC担当</t>
  </si>
  <si>
    <t>300件</t>
  </si>
  <si>
    <t>245件</t>
  </si>
  <si>
    <t>5,000円</t>
  </si>
  <si>
    <t>4,500円</t>
  </si>
  <si>
    <t>12回/年</t>
  </si>
  <si>
    <t>10.5回/年</t>
  </si>
  <si>
    <t>50人/月</t>
  </si>
  <si>
    <t>38人/月</t>
  </si>
  <si>
    <t>KPI数</t>
  </si>
  <si>
    <t>目標未達（81.7%）</t>
  </si>
  <si>
    <t>EC広告予算の見直し、リターゲティング強化</t>
  </si>
  <si>
    <t>2025/03末</t>
  </si>
  <si>
    <t>目標未達（76%）</t>
  </si>
  <si>
    <t>SNS施策強化、紹介キャンペーン実施</t>
  </si>
  <si>
    <t>目標未達（87.5%）</t>
  </si>
  <si>
    <t>2025/04末</t>
  </si>
  <si>
    <t>目標僅差（94.6%）</t>
  </si>
  <si>
    <t>商品ページ改善、SEO対策強化</t>
  </si>
  <si>
    <t>2025/06末</t>
  </si>
  <si>
    <t>EC運営費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</si>
</sst>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\+0.0%;\-0.0%"/>
  </numFmts>
  <fonts count="24" x14ac:knownFonts="1">
    <font>
      <sz val="11"/>
      <color theme="1"/>
      <name val="Calibri"/>
      <family val="2"/>
      <charset val="1"/>
    </font>
    <font>
      <sz val="11"/>
      <color theme="1"/>
      <name val="Noto Sans JP"/>
      <family val="3"/>
      <charset val="128"/>
    </font>
    <font>
      <b/>
      <sz val="14"/>
      <color rgb="FFFFFFFF"/>
      <name val="Noto Sans JP"/>
      <family val="3"/>
      <charset val="128"/>
    </font>
    <font>
      <sz val="10"/>
      <color rgb="FF666666"/>
      <name val="Noto Sans JP"/>
      <family val="3"/>
      <charset val="128"/>
    </font>
    <font>
      <b/>
      <sz val="12"/>
      <color rgb="FF1B3A5C"/>
      <name val="Noto Sans JP"/>
      <family val="3"/>
      <charset val="128"/>
    </font>
    <font>
      <sz val="9"/>
      <color rgb="FF666666"/>
      <name val="Noto Sans JP"/>
      <family val="3"/>
      <charset val="128"/>
    </font>
    <font>
      <b/>
      <sz val="20"/>
      <color rgb="FF1B3A5C"/>
      <name val="Noto Sans JP"/>
      <family val="3"/>
      <charset val="128"/>
    </font>
    <font>
      <sz val="9"/>
      <color rgb="FF2E86AB"/>
      <name val="Noto Sans JP"/>
      <family val="3"/>
      <charset val="128"/>
    </font>
    <font>
      <b/>
      <sz val="9"/>
      <color rgb="FFFFFFFF"/>
      <name val="Noto Sans JP"/>
      <family val="3"/>
      <charset val="128"/>
    </font>
    <font>
      <b/>
      <sz val="9"/>
      <color rgb="FF2E86AB"/>
      <name val="Noto Sans JP"/>
      <family val="3"/>
      <charset val="128"/>
    </font>
    <font>
      <sz val="9"/>
      <color rgb="FF1A1A2E"/>
      <name val="Noto Sans JP"/>
      <family val="3"/>
      <charset val="128"/>
    </font>
    <font>
      <b/>
      <sz val="9"/>
      <color rgb="FF1B3A5C"/>
      <name val="Noto Sans JP"/>
      <family val="3"/>
      <charset val="128"/>
    </font>
    <font>
      <b/>
      <sz val="10"/>
      <color rgb="FF1B3A5C"/>
      <name val="Noto Sans JP"/>
      <family val="3"/>
      <charset val="128"/>
    </font>
    <font>
      <sz val="9"/>
      <color rgb="FF999999"/>
      <name val="Noto Sans JP"/>
      <family val="3"/>
      <charset val="128"/>
    </font>
    <font>
      <sz val="6"/>
      <name val="ＭＳ Ｐゴシック"/>
      <family val="3"/>
      <charset val="128"/>
    </font>
    <font>
      <b/>
      <sz val="11"/>
      <color rgb="FFFFFFFF"/>
      <name val="Noto Sans JP"/>
      <family val="3"/>
      <charset val="128"/>
    </font>
    <font>
      <b/>
      <sz val="9"/>
      <color rgb="FF1A1A2E"/>
      <name val="Noto Sans JP"/>
      <family val="3"/>
      <charset val="128"/>
    </font>
    <font>
      <b/>
      <sz val="10"/>
      <color rgb="FF1A1A2E"/>
      <name val="Noto Sans JP"/>
      <family val="3"/>
      <charset val="128"/>
    </font>
    <font>
      <b/>
      <sz val="11"/>
      <color rgb="FF155724"/>
      <name val="Noto Sans JP"/>
      <family val="3"/>
      <charset val="128"/>
    </font>
    <font>
      <b/>
      <sz val="11"/>
      <color rgb="FF0C5460"/>
      <name val="Noto Sans JP"/>
      <family val="3"/>
      <charset val="128"/>
    </font>
    <font>
      <b/>
      <sz val="11"/>
      <color rgb="FF856404"/>
      <name val="Noto Sans JP"/>
      <family val="3"/>
      <charset val="128"/>
    </font>
    <font>
      <b/>
      <sz val="9"/>
      <color rgb="FFE74C3C"/>
      <name val="Noto Sans JP"/>
      <family val="3"/>
      <charset val="128"/>
    </font>
    <font>
      <b/>
      <sz val="9"/>
      <color rgb="FFF39C12"/>
      <name val="Noto Sans JP"/>
      <family val="3"/>
      <charset val="128"/>
    </font>
    <font>
      <b/>
      <sz val="9"/>
      <color rgb="FF0C5460"/>
      <name val="Noto Sans JP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1B3A5C"/>
        <bgColor rgb="FF0C5460"/>
      </patternFill>
    </fill>
    <fill>
      <patternFill patternType="solid">
        <fgColor rgb="FF2E86AB"/>
        <bgColor rgb="FF4A7EBB"/>
      </patternFill>
    </fill>
    <fill>
      <patternFill patternType="solid">
        <fgColor rgb="FFF8FAFC"/>
        <bgColor rgb="FFF9F9F9"/>
      </patternFill>
    </fill>
    <fill>
      <patternFill patternType="solid">
        <fgColor rgb="FFE8F1F8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D4EDDA"/>
        <bgColor rgb="FFD1ECF1"/>
      </patternFill>
    </fill>
    <fill>
      <patternFill patternType="solid">
        <fgColor rgb="FFFFF3CD"/>
        <bgColor rgb="FFF5F5F5"/>
      </patternFill>
    </fill>
    <fill>
      <patternFill patternType="solid">
        <fgColor rgb="FFF8D7DA"/>
        <bgColor rgb="FFE0E0E0"/>
      </patternFill>
    </fill>
    <fill>
      <patternFill patternType="solid">
        <fgColor rgb="FFD1ECF1"/>
        <bgColor rgb="FFD4EDDA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86AB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1" fillId="3" borderId="2" xfId="0" applyFont="1" applyFill="1" applyBorder="1"/>
    <xf numFmtId="0" fontId="5" fillId="4" borderId="2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/>
    </xf>
    <xf numFmtId="0" fontId="9" fillId="0" borderId="3" xfId="0" applyFont="1" applyBorder="1"/>
    <xf numFmtId="3" fontId="10" fillId="0" borderId="3" xfId="0" applyNumberFormat="1" applyFont="1" applyBorder="1"/>
    <xf numFmtId="3" fontId="11" fillId="0" borderId="3" xfId="0" applyNumberFormat="1" applyFont="1" applyBorder="1"/>
    <xf numFmtId="0" fontId="12" fillId="5" borderId="3" xfId="0" applyFont="1" applyFill="1" applyBorder="1"/>
    <xf numFmtId="0" fontId="12" fillId="5" borderId="3" xfId="0" applyFont="1" applyFill="1" applyBorder="1" applyAlignment="1">
      <alignment horizontal="left" vertical="center"/>
    </xf>
    <xf numFmtId="3" fontId="12" fillId="5" borderId="3" xfId="0" applyNumberFormat="1" applyFont="1" applyFill="1" applyBorder="1"/>
    <xf numFmtId="3" fontId="1" fillId="0" borderId="3" xfId="0" applyNumberFormat="1" applyFont="1" applyBorder="1"/>
    <xf numFmtId="176" fontId="10" fillId="0" borderId="3" xfId="0" applyNumberFormat="1" applyFont="1" applyBorder="1"/>
    <xf numFmtId="176" fontId="1" fillId="0" borderId="3" xfId="0" applyNumberFormat="1" applyFont="1" applyBorder="1"/>
    <xf numFmtId="0" fontId="13" fillId="0" borderId="0" xfId="0" applyFont="1"/>
    <xf numFmtId="176" fontId="13" fillId="0" borderId="0" xfId="0" applyNumberFormat="1" applyFont="1"/>
    <xf numFmtId="0" fontId="15" fillId="2" borderId="3" xfId="0" applyFont="1" applyFill="1" applyBorder="1" applyAlignment="1">
      <alignment horizontal="center" vertical="center" wrapText="1"/>
    </xf>
    <xf numFmtId="0" fontId="16" fillId="0" borderId="3" xfId="0" applyFont="1" applyBorder="1"/>
    <xf numFmtId="3" fontId="10" fillId="0" borderId="3" xfId="0" applyNumberFormat="1" applyFont="1" applyBorder="1" applyAlignment="1">
      <alignment horizontal="right" vertical="center"/>
    </xf>
    <xf numFmtId="0" fontId="16" fillId="6" borderId="3" xfId="0" applyFont="1" applyFill="1" applyBorder="1"/>
    <xf numFmtId="3" fontId="10" fillId="6" borderId="3" xfId="0" applyNumberFormat="1" applyFont="1" applyFill="1" applyBorder="1" applyAlignment="1">
      <alignment horizontal="right" vertical="center"/>
    </xf>
    <xf numFmtId="176" fontId="10" fillId="6" borderId="3" xfId="0" applyNumberFormat="1" applyFont="1" applyFill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9" fillId="6" borderId="3" xfId="0" applyFont="1" applyFill="1" applyBorder="1"/>
    <xf numFmtId="3" fontId="10" fillId="6" borderId="3" xfId="0" applyNumberFormat="1" applyFont="1" applyFill="1" applyBorder="1"/>
    <xf numFmtId="0" fontId="13" fillId="0" borderId="3" xfId="0" applyFont="1" applyBorder="1"/>
    <xf numFmtId="177" fontId="10" fillId="0" borderId="3" xfId="0" applyNumberFormat="1" applyFont="1" applyBorder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11" fillId="5" borderId="3" xfId="0" applyFont="1" applyFill="1" applyBorder="1"/>
    <xf numFmtId="3" fontId="11" fillId="5" borderId="3" xfId="0" applyNumberFormat="1" applyFont="1" applyFill="1" applyBorder="1"/>
    <xf numFmtId="176" fontId="11" fillId="5" borderId="3" xfId="0" applyNumberFormat="1" applyFont="1" applyFill="1" applyBorder="1"/>
    <xf numFmtId="0" fontId="17" fillId="7" borderId="3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3" xfId="0" applyFont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0" fillId="6" borderId="3" xfId="0" applyFont="1" applyFill="1" applyBorder="1"/>
    <xf numFmtId="0" fontId="10" fillId="6" borderId="3" xfId="0" applyFont="1" applyFill="1" applyBorder="1" applyAlignment="1">
      <alignment horizontal="center" vertical="center" wrapText="1"/>
    </xf>
    <xf numFmtId="176" fontId="10" fillId="6" borderId="3" xfId="0" applyNumberFormat="1" applyFont="1" applyFill="1" applyBorder="1"/>
    <xf numFmtId="0" fontId="17" fillId="9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176" fontId="10" fillId="0" borderId="3" xfId="0" applyNumberFormat="1" applyFont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left" vertical="center"/>
    </xf>
    <xf numFmtId="176" fontId="10" fillId="6" borderId="3" xfId="0" applyNumberFormat="1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38" fontId="10" fillId="0" borderId="3" xfId="0" applyNumberFormat="1" applyFont="1" applyBorder="1" applyAlignment="1">
      <alignment horizontal="right" vertical="center"/>
    </xf>
    <xf numFmtId="38" fontId="10" fillId="6" borderId="3" xfId="0" applyNumberFormat="1" applyFont="1" applyFill="1" applyBorder="1" applyAlignment="1">
      <alignment horizontal="right" vertical="center"/>
    </xf>
    <xf numFmtId="38" fontId="12" fillId="5" borderId="3" xfId="0" applyNumberFormat="1" applyFont="1" applyFill="1" applyBorder="1"/>
    <xf numFmtId="176" fontId="12" fillId="5" borderId="3" xfId="0" applyNumberFormat="1" applyFont="1" applyFill="1" applyBorder="1"/>
    <xf numFmtId="0" fontId="11" fillId="0" borderId="3" xfId="0" applyFont="1" applyBorder="1"/>
  </cellXfs>
  <cellStyles count="1">
    <cellStyle name="標準" xfId="0" builtinId="0"/>
  </cellStyles>
  <dxfs count="4">
    <dxf>
      <font>
        <b/>
        <color rgb="FFE74C3C"/>
      </font>
    </dxf>
    <dxf>
      <font>
        <b/>
        <color rgb="FF27AE60"/>
      </font>
    </dxf>
    <dxf>
      <font>
        <sz val="9"/>
        <color rgb="FFE74C3C"/>
      </font>
    </dxf>
    <dxf>
      <font>
        <sz val="9"/>
        <color rgb="FF27AE6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0E0E0"/>
      <rgbColor rgb="FFFF00FF"/>
      <rgbColor rgb="FFF8FAFC"/>
      <rgbColor rgb="FF800000"/>
      <rgbColor rgb="FF4F81BD"/>
      <rgbColor rgb="FF000080"/>
      <rgbColor rgb="FF856404"/>
      <rgbColor rgb="FF7D5FA0"/>
      <rgbColor rgb="FF2E86AB"/>
      <rgbColor rgb="FFB8CD97"/>
      <rgbColor rgb="FF878787"/>
      <rgbColor rgb="FF93A9CE"/>
      <rgbColor rgb="FFAB4744"/>
      <rgbColor rgb="FFFFF3CD"/>
      <rgbColor rgb="FFD1ECF1"/>
      <rgbColor rgb="FF660066"/>
      <rgbColor rgb="FFDC853E"/>
      <rgbColor rgb="FF4672A8"/>
      <rgbColor rgb="FFD0D8E0"/>
      <rgbColor rgb="FF000080"/>
      <rgbColor rgb="FFFF00FF"/>
      <rgbColor rgb="FFD9D9D9"/>
      <rgbColor rgb="FFF9F9F9"/>
      <rgbColor rgb="FF800080"/>
      <rgbColor rgb="FF800000"/>
      <rgbColor rgb="FF0C5460"/>
      <rgbColor rgb="FF0000FF"/>
      <rgbColor rgb="FF4299B0"/>
      <rgbColor rgb="FFE8F1F8"/>
      <rgbColor rgb="FFD4EDDA"/>
      <rgbColor rgb="FFF5F5F5"/>
      <rgbColor rgb="FF92C3D5"/>
      <rgbColor rgb="FFD09493"/>
      <rgbColor rgb="FFA99BBD"/>
      <rgbColor rgb="FFF8D7DA"/>
      <rgbColor rgb="FF4A7EBB"/>
      <rgbColor rgb="FF46AAC4"/>
      <rgbColor rgb="FF98B855"/>
      <rgbColor rgb="FF9BBB59"/>
      <rgbColor rgb="FFF39C12"/>
      <rgbColor rgb="FFE74C3C"/>
      <rgbColor rgb="FF725990"/>
      <rgbColor rgb="FF999999"/>
      <rgbColor rgb="FF1B3A5C"/>
      <rgbColor rgb="FF27AE60"/>
      <rgbColor rgb="FF155724"/>
      <rgbColor rgb="FF8AA64F"/>
      <rgbColor rgb="FFC0504D"/>
      <rgbColor rgb="FFBE4B48"/>
      <rgbColor rgb="FF666666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月別チャネル別売上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経営ダッシュボード!$B$15</c:f>
              <c:strCache>
                <c:ptCount val="1"/>
                <c:pt idx="0">
                  <c:v>EC売上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経営ダッシュボード!$C$14:$N$14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経営ダッシュボード!$C$15:$N$15</c:f>
              <c:numCache>
                <c:formatCode>#,##0</c:formatCode>
                <c:ptCount val="12"/>
                <c:pt idx="0">
                  <c:v>1850000</c:v>
                </c:pt>
                <c:pt idx="1">
                  <c:v>1720000</c:v>
                </c:pt>
                <c:pt idx="2">
                  <c:v>2100000</c:v>
                </c:pt>
                <c:pt idx="3">
                  <c:v>1980000</c:v>
                </c:pt>
                <c:pt idx="4">
                  <c:v>2250000</c:v>
                </c:pt>
                <c:pt idx="5">
                  <c:v>2380000</c:v>
                </c:pt>
                <c:pt idx="6">
                  <c:v>2650000</c:v>
                </c:pt>
                <c:pt idx="7">
                  <c:v>2800000</c:v>
                </c:pt>
                <c:pt idx="8">
                  <c:v>2450000</c:v>
                </c:pt>
                <c:pt idx="9">
                  <c:v>2300000</c:v>
                </c:pt>
                <c:pt idx="10">
                  <c:v>2550000</c:v>
                </c:pt>
                <c:pt idx="11">
                  <c:v>3100000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2-401C-ADB1-A77D257E1151}"/>
            </c:ext>
          </c:extLst>
        </c:ser>
        <c:ser>
          <c:idx val="1"/>
          <c:order val="1"/>
          <c:tx>
            <c:strRef>
              <c:f>経営ダッシュボード!$B$16</c:f>
              <c:strCache>
                <c:ptCount val="1"/>
                <c:pt idx="0">
                  <c:v>実店舗売上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経営ダッシュボード!$C$14:$N$14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経営ダッシュボード!$C$16:$N$16</c:f>
              <c:numCache>
                <c:formatCode>#,##0</c:formatCode>
                <c:ptCount val="12"/>
                <c:pt idx="0">
                  <c:v>920000</c:v>
                </c:pt>
                <c:pt idx="1">
                  <c:v>880000</c:v>
                </c:pt>
                <c:pt idx="2">
                  <c:v>1050000</c:v>
                </c:pt>
                <c:pt idx="3">
                  <c:v>960000</c:v>
                </c:pt>
                <c:pt idx="4">
                  <c:v>1100000</c:v>
                </c:pt>
                <c:pt idx="5">
                  <c:v>1180000</c:v>
                </c:pt>
                <c:pt idx="6">
                  <c:v>1300000</c:v>
                </c:pt>
                <c:pt idx="7">
                  <c:v>1400000</c:v>
                </c:pt>
                <c:pt idx="8">
                  <c:v>1200000</c:v>
                </c:pt>
                <c:pt idx="9">
                  <c:v>1150000</c:v>
                </c:pt>
                <c:pt idx="10">
                  <c:v>1280000</c:v>
                </c:pt>
                <c:pt idx="11">
                  <c:v>1550000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E2-401C-ADB1-A77D257E1151}"/>
            </c:ext>
          </c:extLst>
        </c:ser>
        <c:ser>
          <c:idx val="2"/>
          <c:order val="2"/>
          <c:tx>
            <c:strRef>
              <c:f>経営ダッシュボード!$B$17</c:f>
              <c:strCache>
                <c:ptCount val="1"/>
                <c:pt idx="0">
                  <c:v>卸売売上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経営ダッシュボード!$C$14:$N$14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経営ダッシュボード!$C$17:$N$17</c:f>
              <c:numCache>
                <c:formatCode>#,##0</c:formatCode>
                <c:ptCount val="12"/>
                <c:pt idx="0">
                  <c:v>1200000</c:v>
                </c:pt>
                <c:pt idx="1">
                  <c:v>1150000</c:v>
                </c:pt>
                <c:pt idx="2">
                  <c:v>1380000</c:v>
                </c:pt>
                <c:pt idx="3">
                  <c:v>1250000</c:v>
                </c:pt>
                <c:pt idx="4">
                  <c:v>1420000</c:v>
                </c:pt>
                <c:pt idx="5">
                  <c:v>1500000</c:v>
                </c:pt>
                <c:pt idx="6">
                  <c:v>1650000</c:v>
                </c:pt>
                <c:pt idx="7">
                  <c:v>1750000</c:v>
                </c:pt>
                <c:pt idx="8">
                  <c:v>1550000</c:v>
                </c:pt>
                <c:pt idx="9">
                  <c:v>1480000</c:v>
                </c:pt>
                <c:pt idx="10">
                  <c:v>1600000</c:v>
                </c:pt>
                <c:pt idx="11">
                  <c:v>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E2-401C-ADB1-A77D257E1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93862"/>
        <c:axId val="35714362"/>
      </c:barChart>
      <c:catAx>
        <c:axId val="9793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5714362"/>
        <c:crosses val="autoZero"/>
        <c:auto val="1"/>
        <c:lblAlgn val="ctr"/>
        <c:lblOffset val="100"/>
        <c:noMultiLvlLbl val="0"/>
      </c:catAx>
      <c:valAx>
        <c:axId val="35714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売上（円）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97938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粗利率推移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経営ダッシュボード!$B$21</c:f>
              <c:strCache>
                <c:ptCount val="1"/>
                <c:pt idx="0">
                  <c:v>粗利率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経営ダッシュボード!$C$14:$N$14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経営ダッシュボード!$C$21:$N$21</c:f>
              <c:numCache>
                <c:formatCode>0.0%</c:formatCode>
                <c:ptCount val="12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62-4B34-865C-AB3B9AE72445}"/>
            </c:ext>
          </c:extLst>
        </c:ser>
        <c:ser>
          <c:idx val="1"/>
          <c:order val="1"/>
          <c:tx>
            <c:strRef>
              <c:f>経営ダッシュボード!$B$22</c:f>
              <c:strCache>
                <c:ptCount val="1"/>
                <c:pt idx="0">
                  <c:v>目標粗利率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経営ダッシュボード!$C$14:$N$14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経営ダッシュボード!$C$22:$N$22</c:f>
              <c:numCache>
                <c:formatCode>0.0%</c:formatCode>
                <c:ptCount val="12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62-4B34-865C-AB3B9AE72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100842"/>
        <c:axId val="67904322"/>
      </c:lineChart>
      <c:catAx>
        <c:axId val="311008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67904322"/>
        <c:crosses val="autoZero"/>
        <c:auto val="1"/>
        <c:lblAlgn val="ctr"/>
        <c:lblOffset val="100"/>
        <c:noMultiLvlLbl val="0"/>
      </c:catAx>
      <c:valAx>
        <c:axId val="67904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粗利率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11008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チャネル別売上構成比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チャネル分析!$C$14</c:f>
              <c:strCache>
                <c:ptCount val="1"/>
                <c:pt idx="0">
                  <c:v>28,130,000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CBC-4C7B-8D8E-311946FA781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CBC-4C7B-8D8E-311946FA781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CBC-4C7B-8D8E-311946FA781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CBC-4C7B-8D8E-311946FA78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ja-JP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チャネル分析!$C$13:$E$13</c:f>
              <c:strCache>
                <c:ptCount val="3"/>
                <c:pt idx="0">
                  <c:v>ECサイト</c:v>
                </c:pt>
                <c:pt idx="1">
                  <c:v>実店舗</c:v>
                </c:pt>
                <c:pt idx="2">
                  <c:v>卸売</c:v>
                </c:pt>
              </c:strCache>
            </c:strRef>
          </c:cat>
          <c:val>
            <c:numRef>
              <c:f>チャネル分析!$D$14:$E$14</c:f>
              <c:numCache>
                <c:formatCode>#,##0</c:formatCode>
                <c:ptCount val="2"/>
                <c:pt idx="0">
                  <c:v>13970000</c:v>
                </c:pt>
                <c:pt idx="1">
                  <c:v>17330000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BC-4C7B-8D8E-311946FA7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チャネル別売上推移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チャネル分析!$B$25</c:f>
              <c:strCache>
                <c:ptCount val="1"/>
                <c:pt idx="0">
                  <c:v>ECサイト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チャネル分析!$C$24:$N$24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チャネル分析!$C$25:$N$25</c:f>
              <c:numCache>
                <c:formatCode>#,##0</c:formatCode>
                <c:ptCount val="12"/>
                <c:pt idx="0">
                  <c:v>1850000</c:v>
                </c:pt>
                <c:pt idx="1">
                  <c:v>1720000</c:v>
                </c:pt>
                <c:pt idx="2">
                  <c:v>2100000</c:v>
                </c:pt>
                <c:pt idx="3">
                  <c:v>1980000</c:v>
                </c:pt>
                <c:pt idx="4">
                  <c:v>2250000</c:v>
                </c:pt>
                <c:pt idx="5">
                  <c:v>2380000</c:v>
                </c:pt>
                <c:pt idx="6">
                  <c:v>2650000</c:v>
                </c:pt>
                <c:pt idx="7">
                  <c:v>2800000</c:v>
                </c:pt>
                <c:pt idx="8">
                  <c:v>2450000</c:v>
                </c:pt>
                <c:pt idx="9">
                  <c:v>2300000</c:v>
                </c:pt>
                <c:pt idx="10">
                  <c:v>2550000</c:v>
                </c:pt>
                <c:pt idx="11">
                  <c:v>3100000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CF-434A-9E07-5673E43FAFC9}"/>
            </c:ext>
          </c:extLst>
        </c:ser>
        <c:ser>
          <c:idx val="1"/>
          <c:order val="1"/>
          <c:tx>
            <c:strRef>
              <c:f>チャネル分析!$B$26</c:f>
              <c:strCache>
                <c:ptCount val="1"/>
                <c:pt idx="0">
                  <c:v>実店舗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チャネル分析!$C$24:$N$24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チャネル分析!$C$26:$N$26</c:f>
              <c:numCache>
                <c:formatCode>#,##0</c:formatCode>
                <c:ptCount val="12"/>
                <c:pt idx="0">
                  <c:v>920000</c:v>
                </c:pt>
                <c:pt idx="1">
                  <c:v>880000</c:v>
                </c:pt>
                <c:pt idx="2">
                  <c:v>1050000</c:v>
                </c:pt>
                <c:pt idx="3">
                  <c:v>960000</c:v>
                </c:pt>
                <c:pt idx="4">
                  <c:v>1100000</c:v>
                </c:pt>
                <c:pt idx="5">
                  <c:v>1180000</c:v>
                </c:pt>
                <c:pt idx="6">
                  <c:v>1300000</c:v>
                </c:pt>
                <c:pt idx="7">
                  <c:v>1400000</c:v>
                </c:pt>
                <c:pt idx="8">
                  <c:v>1200000</c:v>
                </c:pt>
                <c:pt idx="9">
                  <c:v>1150000</c:v>
                </c:pt>
                <c:pt idx="10">
                  <c:v>1280000</c:v>
                </c:pt>
                <c:pt idx="11">
                  <c:v>1550000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CF-434A-9E07-5673E43FAFC9}"/>
            </c:ext>
          </c:extLst>
        </c:ser>
        <c:ser>
          <c:idx val="2"/>
          <c:order val="2"/>
          <c:tx>
            <c:strRef>
              <c:f>チャネル分析!$B$27</c:f>
              <c:strCache>
                <c:ptCount val="1"/>
                <c:pt idx="0">
                  <c:v>卸売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チャネル分析!$C$24:$N$24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チャネル分析!$C$27:$N$27</c:f>
              <c:numCache>
                <c:formatCode>#,##0</c:formatCode>
                <c:ptCount val="12"/>
                <c:pt idx="0">
                  <c:v>1200000</c:v>
                </c:pt>
                <c:pt idx="1">
                  <c:v>1150000</c:v>
                </c:pt>
                <c:pt idx="2">
                  <c:v>1380000</c:v>
                </c:pt>
                <c:pt idx="3">
                  <c:v>1250000</c:v>
                </c:pt>
                <c:pt idx="4">
                  <c:v>1420000</c:v>
                </c:pt>
                <c:pt idx="5">
                  <c:v>1500000</c:v>
                </c:pt>
                <c:pt idx="6">
                  <c:v>1650000</c:v>
                </c:pt>
                <c:pt idx="7">
                  <c:v>1750000</c:v>
                </c:pt>
                <c:pt idx="8">
                  <c:v>1550000</c:v>
                </c:pt>
                <c:pt idx="9">
                  <c:v>1480000</c:v>
                </c:pt>
                <c:pt idx="10">
                  <c:v>1600000</c:v>
                </c:pt>
                <c:pt idx="11">
                  <c:v>1900000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BCF-434A-9E07-5673E43FA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8344"/>
        <c:axId val="45077605"/>
      </c:lineChart>
      <c:catAx>
        <c:axId val="57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5077605"/>
        <c:crosses val="autoZero"/>
        <c:auto val="1"/>
        <c:lblAlgn val="ctr"/>
        <c:lblOffset val="100"/>
        <c:noMultiLvlLbl val="0"/>
      </c:catAx>
      <c:valAx>
        <c:axId val="45077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売上（円）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783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商品別売上ランキング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商品分析!$E$5</c:f>
              <c:strCache>
                <c:ptCount val="1"/>
                <c:pt idx="0">
                  <c:v>売上金額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商品分析!$C$6:$C$13</c:f>
              <c:strCache>
                <c:ptCount val="8"/>
                <c:pt idx="0">
                  <c:v>焼き海苔 100枚</c:v>
                </c:pt>
                <c:pt idx="1">
                  <c:v>昆布だしパック 30袋</c:v>
                </c:pt>
                <c:pt idx="2">
                  <c:v>味付け海苔 50枚</c:v>
                </c:pt>
                <c:pt idx="3">
                  <c:v>干しエビ 150g</c:v>
                </c:pt>
                <c:pt idx="4">
                  <c:v>塩蔵わかめ 500g</c:v>
                </c:pt>
                <c:pt idx="5">
                  <c:v>煮干し 500g</c:v>
                </c:pt>
                <c:pt idx="6">
                  <c:v>しらす干し 300g</c:v>
                </c:pt>
                <c:pt idx="7">
                  <c:v>天日干しひじき 200g</c:v>
                </c:pt>
              </c:strCache>
            </c:strRef>
          </c:cat>
          <c:val>
            <c:numRef>
              <c:f>商品分析!$E$6:$E$13</c:f>
              <c:numCache>
                <c:formatCode>#,##0</c:formatCode>
                <c:ptCount val="8"/>
                <c:pt idx="0">
                  <c:v>2040000</c:v>
                </c:pt>
                <c:pt idx="1">
                  <c:v>1296000</c:v>
                </c:pt>
                <c:pt idx="2">
                  <c:v>816000</c:v>
                </c:pt>
                <c:pt idx="3">
                  <c:v>630000</c:v>
                </c:pt>
                <c:pt idx="4">
                  <c:v>464000</c:v>
                </c:pt>
                <c:pt idx="5">
                  <c:v>429000</c:v>
                </c:pt>
                <c:pt idx="6">
                  <c:v>343000</c:v>
                </c:pt>
                <c:pt idx="7">
                  <c:v>234000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A-40C1-AF84-2F03633A2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73896"/>
        <c:axId val="34390689"/>
      </c:barChart>
      <c:catAx>
        <c:axId val="8907389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売上金額（円）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4390689"/>
        <c:crosses val="autoZero"/>
        <c:auto val="1"/>
        <c:lblAlgn val="ctr"/>
        <c:lblOffset val="100"/>
        <c:noMultiLvlLbl val="0"/>
      </c:catAx>
      <c:valAx>
        <c:axId val="343906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9073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コスト構成比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893-4063-BB83-5D5FBB0E0576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893-4063-BB83-5D5FBB0E0576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893-4063-BB83-5D5FBB0E0576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893-4063-BB83-5D5FBB0E0576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893-4063-BB83-5D5FBB0E0576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3893-4063-BB83-5D5FBB0E0576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3893-4063-BB83-5D5FBB0E0576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3893-4063-BB83-5D5FBB0E0576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3893-4063-BB83-5D5FBB0E0576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3893-4063-BB83-5D5FBB0E0576}"/>
              </c:ext>
            </c:extLst>
          </c:dPt>
          <c:dPt>
            <c:idx val="10"/>
            <c:bubble3D val="0"/>
            <c:spPr>
              <a:solidFill>
                <a:srgbClr val="92C3D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3893-4063-BB83-5D5FBB0E057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893-4063-BB83-5D5FBB0E057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893-4063-BB83-5D5FBB0E057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893-4063-BB83-5D5FBB0E057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893-4063-BB83-5D5FBB0E057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893-4063-BB83-5D5FBB0E057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3893-4063-BB83-5D5FBB0E057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3893-4063-BB83-5D5FBB0E0576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3893-4063-BB83-5D5FBB0E0576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3893-4063-BB83-5D5FBB0E057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3893-4063-BB83-5D5FBB0E0576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5-3893-4063-BB83-5D5FBB0E05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ja-JP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コスト管理!$B$6:$B$16</c:f>
              <c:strCache>
                <c:ptCount val="11"/>
                <c:pt idx="0">
                  <c:v>原材料費</c:v>
                </c:pt>
                <c:pt idx="1">
                  <c:v>加工費</c:v>
                </c:pt>
                <c:pt idx="2">
                  <c:v>包装資材費</c:v>
                </c:pt>
                <c:pt idx="3">
                  <c:v>物流費（配送）</c:v>
                </c:pt>
                <c:pt idx="4">
                  <c:v>物流費（倉庫）</c:v>
                </c:pt>
                <c:pt idx="5">
                  <c:v>人件費</c:v>
                </c:pt>
                <c:pt idx="6">
                  <c:v>広告宣伝費</c:v>
                </c:pt>
                <c:pt idx="7">
                  <c:v>EC運営費</c:v>
                </c:pt>
                <c:pt idx="8">
                  <c:v>店舗運営費</c:v>
                </c:pt>
                <c:pt idx="9">
                  <c:v>通信費・事務費</c:v>
                </c:pt>
                <c:pt idx="10">
                  <c:v>その他</c:v>
                </c:pt>
              </c:strCache>
            </c:strRef>
          </c:cat>
          <c:val>
            <c:numRef>
              <c:f>コスト管理!$D$6:$D$16</c:f>
              <c:numCache>
                <c:formatCode>#,##0</c:formatCode>
                <c:ptCount val="11"/>
                <c:pt idx="0">
                  <c:v>23200000</c:v>
                </c:pt>
                <c:pt idx="1">
                  <c:v>5100000</c:v>
                </c:pt>
                <c:pt idx="2">
                  <c:v>2350000</c:v>
                </c:pt>
                <c:pt idx="3">
                  <c:v>3500000</c:v>
                </c:pt>
                <c:pt idx="4">
                  <c:v>1750000</c:v>
                </c:pt>
                <c:pt idx="5">
                  <c:v>8400000</c:v>
                </c:pt>
                <c:pt idx="6">
                  <c:v>1650000</c:v>
                </c:pt>
                <c:pt idx="7">
                  <c:v>1180000</c:v>
                </c:pt>
                <c:pt idx="8">
                  <c:v>2300000</c:v>
                </c:pt>
                <c:pt idx="9">
                  <c:v>580000</c:v>
                </c:pt>
                <c:pt idx="10">
                  <c:v>1100000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893-4063-BB83-5D5FBB0E0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月次コスト推移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コスト管理!$B$22</c:f>
              <c:strCache>
                <c:ptCount val="1"/>
                <c:pt idx="0">
                  <c:v>原材料費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コスト管理!$C$21:$K$21</c:f>
              <c:strCache>
                <c:ptCount val="9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</c:strCache>
            </c:strRef>
          </c:cat>
          <c:val>
            <c:numRef>
              <c:f>コスト管理!$C$22:$K$22</c:f>
              <c:numCache>
                <c:formatCode>#,##0</c:formatCode>
                <c:ptCount val="9"/>
                <c:pt idx="0">
                  <c:v>1900000</c:v>
                </c:pt>
                <c:pt idx="1">
                  <c:v>1800000</c:v>
                </c:pt>
                <c:pt idx="2">
                  <c:v>2100000</c:v>
                </c:pt>
                <c:pt idx="3">
                  <c:v>1950000</c:v>
                </c:pt>
                <c:pt idx="4">
                  <c:v>2050000</c:v>
                </c:pt>
                <c:pt idx="5">
                  <c:v>2150000</c:v>
                </c:pt>
                <c:pt idx="6">
                  <c:v>2300000</c:v>
                </c:pt>
                <c:pt idx="7">
                  <c:v>2450000</c:v>
                </c:pt>
                <c:pt idx="8">
                  <c:v>2100000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11-49BD-9115-EDACD2E8E2F2}"/>
            </c:ext>
          </c:extLst>
        </c:ser>
        <c:ser>
          <c:idx val="1"/>
          <c:order val="1"/>
          <c:tx>
            <c:strRef>
              <c:f>コスト管理!$B$23</c:f>
              <c:strCache>
                <c:ptCount val="1"/>
                <c:pt idx="0">
                  <c:v>物流費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コスト管理!$C$21:$K$21</c:f>
              <c:strCache>
                <c:ptCount val="9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</c:strCache>
            </c:strRef>
          </c:cat>
          <c:val>
            <c:numRef>
              <c:f>コスト管理!$C$23:$K$23</c:f>
              <c:numCache>
                <c:formatCode>#,##0</c:formatCode>
                <c:ptCount val="9"/>
                <c:pt idx="0">
                  <c:v>420000</c:v>
                </c:pt>
                <c:pt idx="1">
                  <c:v>400000</c:v>
                </c:pt>
                <c:pt idx="2">
                  <c:v>480000</c:v>
                </c:pt>
                <c:pt idx="3">
                  <c:v>440000</c:v>
                </c:pt>
                <c:pt idx="4">
                  <c:v>470000</c:v>
                </c:pt>
                <c:pt idx="5">
                  <c:v>500000</c:v>
                </c:pt>
                <c:pt idx="6">
                  <c:v>540000</c:v>
                </c:pt>
                <c:pt idx="7">
                  <c:v>580000</c:v>
                </c:pt>
                <c:pt idx="8">
                  <c:v>490000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111-49BD-9115-EDACD2E8E2F2}"/>
            </c:ext>
          </c:extLst>
        </c:ser>
        <c:ser>
          <c:idx val="2"/>
          <c:order val="2"/>
          <c:tx>
            <c:strRef>
              <c:f>コスト管理!$B$24</c:f>
              <c:strCache>
                <c:ptCount val="1"/>
                <c:pt idx="0">
                  <c:v>人件費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コスト管理!$C$21:$K$21</c:f>
              <c:strCache>
                <c:ptCount val="9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</c:strCache>
            </c:strRef>
          </c:cat>
          <c:val>
            <c:numRef>
              <c:f>コスト管理!$C$24:$K$24</c:f>
              <c:numCache>
                <c:formatCode>#,##0</c:formatCode>
                <c:ptCount val="9"/>
                <c:pt idx="0">
                  <c:v>700000</c:v>
                </c:pt>
                <c:pt idx="1">
                  <c:v>700000</c:v>
                </c:pt>
                <c:pt idx="2">
                  <c:v>700000</c:v>
                </c:pt>
                <c:pt idx="3">
                  <c:v>700000</c:v>
                </c:pt>
                <c:pt idx="4">
                  <c:v>700000</c:v>
                </c:pt>
                <c:pt idx="5">
                  <c:v>700000</c:v>
                </c:pt>
                <c:pt idx="6">
                  <c:v>700000</c:v>
                </c:pt>
                <c:pt idx="7">
                  <c:v>700000</c:v>
                </c:pt>
                <c:pt idx="8">
                  <c:v>700000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111-49BD-9115-EDACD2E8E2F2}"/>
            </c:ext>
          </c:extLst>
        </c:ser>
        <c:ser>
          <c:idx val="3"/>
          <c:order val="3"/>
          <c:tx>
            <c:strRef>
              <c:f>コスト管理!$B$25</c:f>
              <c:strCache>
                <c:ptCount val="1"/>
                <c:pt idx="0">
                  <c:v>広告宣伝費</c:v>
                </c:pt>
              </c:strCache>
            </c:strRef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コスト管理!$C$21:$K$21</c:f>
              <c:strCache>
                <c:ptCount val="9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</c:strCache>
            </c:strRef>
          </c:cat>
          <c:val>
            <c:numRef>
              <c:f>コスト管理!$C$25:$K$25</c:f>
              <c:numCache>
                <c:formatCode>#,##0</c:formatCode>
                <c:ptCount val="9"/>
                <c:pt idx="0">
                  <c:v>100000</c:v>
                </c:pt>
                <c:pt idx="1">
                  <c:v>120000</c:v>
                </c:pt>
                <c:pt idx="2">
                  <c:v>150000</c:v>
                </c:pt>
                <c:pt idx="3">
                  <c:v>130000</c:v>
                </c:pt>
                <c:pt idx="4">
                  <c:v>160000</c:v>
                </c:pt>
                <c:pt idx="5">
                  <c:v>180000</c:v>
                </c:pt>
                <c:pt idx="6">
                  <c:v>200000</c:v>
                </c:pt>
                <c:pt idx="7">
                  <c:v>220000</c:v>
                </c:pt>
                <c:pt idx="8">
                  <c:v>170000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111-49BD-9115-EDACD2E8E2F2}"/>
            </c:ext>
          </c:extLst>
        </c:ser>
        <c:ser>
          <c:idx val="4"/>
          <c:order val="4"/>
          <c:tx>
            <c:strRef>
              <c:f>コスト管理!$B$26</c:f>
              <c:strCache>
                <c:ptCount val="1"/>
                <c:pt idx="0">
                  <c:v>その他</c:v>
                </c:pt>
              </c:strCache>
            </c:strRef>
          </c:tx>
          <c:spPr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コスト管理!$C$21:$K$21</c:f>
              <c:strCache>
                <c:ptCount val="9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</c:strCache>
            </c:strRef>
          </c:cat>
          <c:val>
            <c:numRef>
              <c:f>コスト管理!$C$26:$K$26</c:f>
              <c:numCache>
                <c:formatCode>#,##0</c:formatCode>
                <c:ptCount val="9"/>
                <c:pt idx="0">
                  <c:v>380000</c:v>
                </c:pt>
                <c:pt idx="1">
                  <c:v>360000</c:v>
                </c:pt>
                <c:pt idx="2">
                  <c:v>420000</c:v>
                </c:pt>
                <c:pt idx="3">
                  <c:v>390000</c:v>
                </c:pt>
                <c:pt idx="4">
                  <c:v>410000</c:v>
                </c:pt>
                <c:pt idx="5">
                  <c:v>430000</c:v>
                </c:pt>
                <c:pt idx="6">
                  <c:v>460000</c:v>
                </c:pt>
                <c:pt idx="7">
                  <c:v>490000</c:v>
                </c:pt>
                <c:pt idx="8">
                  <c:v>420000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111-49BD-9115-EDACD2E8E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979862"/>
        <c:axId val="96127829"/>
      </c:lineChart>
      <c:catAx>
        <c:axId val="64979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96127829"/>
        <c:crosses val="autoZero"/>
        <c:auto val="1"/>
        <c:lblAlgn val="ctr"/>
        <c:lblOffset val="100"/>
        <c:noMultiLvlLbl val="0"/>
      </c:catAx>
      <c:valAx>
        <c:axId val="96127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金額（円）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649798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21</xdr:row>
      <xdr:rowOff>226095</xdr:rowOff>
    </xdr:from>
    <xdr:to>
      <xdr:col>11</xdr:col>
      <xdr:colOff>720480</xdr:colOff>
      <xdr:row>44</xdr:row>
      <xdr:rowOff>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76200</xdr:colOff>
      <xdr:row>43</xdr:row>
      <xdr:rowOff>226095</xdr:rowOff>
    </xdr:from>
    <xdr:to>
      <xdr:col>11</xdr:col>
      <xdr:colOff>720480</xdr:colOff>
      <xdr:row>66</xdr:row>
      <xdr:rowOff>8115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190500</xdr:colOff>
      <xdr:row>32</xdr:row>
      <xdr:rowOff>91395</xdr:rowOff>
    </xdr:from>
    <xdr:to>
      <xdr:col>18</xdr:col>
      <xdr:colOff>294195</xdr:colOff>
      <xdr:row>51</xdr:row>
      <xdr:rowOff>12990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32</xdr:row>
      <xdr:rowOff>93960</xdr:rowOff>
    </xdr:from>
    <xdr:to>
      <xdr:col>11</xdr:col>
      <xdr:colOff>181440</xdr:colOff>
      <xdr:row>54</xdr:row>
      <xdr:rowOff>104520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14</xdr:row>
      <xdr:rowOff>47625</xdr:rowOff>
    </xdr:from>
    <xdr:to>
      <xdr:col>5</xdr:col>
      <xdr:colOff>1828800</xdr:colOff>
      <xdr:row>31</xdr:row>
      <xdr:rowOff>216150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838200</xdr:colOff>
      <xdr:row>27</xdr:row>
      <xdr:rowOff>87870</xdr:rowOff>
    </xdr:from>
    <xdr:to>
      <xdr:col>18</xdr:col>
      <xdr:colOff>27420</xdr:colOff>
      <xdr:row>49</xdr:row>
      <xdr:rowOff>89760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79560</xdr:rowOff>
    </xdr:from>
    <xdr:to>
      <xdr:col>9</xdr:col>
      <xdr:colOff>815760</xdr:colOff>
      <xdr:row>49</xdr:row>
      <xdr:rowOff>89760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P22"/>
  <sheetViews>
    <sheetView showGridLines="0" tabSelected="1" zoomScaleNormal="100" workbookViewId="0">
      <selection activeCell="R47" sqref="R47"/>
    </sheetView>
  </sheetViews>
  <sheetFormatPr defaultColWidth="8.7109375" defaultRowHeight="18" x14ac:dyDescent="0.35"/>
  <cols>
    <col min="1" max="1" width="3" style="1" customWidth="1"/>
    <col min="2" max="19" width="11" style="1" customWidth="1"/>
    <col min="20" max="16384" width="8.7109375" style="1"/>
  </cols>
  <sheetData>
    <row r="1" spans="1:16" ht="21.6" customHeight="1" x14ac:dyDescent="0.35">
      <c r="B1" s="2" t="s">
        <v>118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.75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35">
      <c r="B3" s="4" t="s">
        <v>119</v>
      </c>
      <c r="C3" s="4"/>
      <c r="D3" s="4"/>
      <c r="N3" s="5" t="s">
        <v>120</v>
      </c>
      <c r="O3" s="5"/>
      <c r="P3" s="5"/>
    </row>
    <row r="5" spans="1:16" ht="21" x14ac:dyDescent="0.35">
      <c r="B5" s="6" t="s">
        <v>121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7" spans="1:16" x14ac:dyDescent="0.35">
      <c r="B7" s="7"/>
      <c r="C7" s="7"/>
      <c r="D7" s="7"/>
      <c r="F7" s="7"/>
      <c r="G7" s="7"/>
      <c r="H7" s="7"/>
      <c r="J7" s="7"/>
      <c r="K7" s="7"/>
      <c r="L7" s="7"/>
      <c r="N7" s="7"/>
      <c r="O7" s="7"/>
      <c r="P7" s="7"/>
    </row>
    <row r="8" spans="1:16" x14ac:dyDescent="0.35">
      <c r="B8" s="8" t="s">
        <v>0</v>
      </c>
      <c r="C8" s="8"/>
      <c r="D8" s="8"/>
      <c r="F8" s="8" t="s">
        <v>1</v>
      </c>
      <c r="G8" s="8"/>
      <c r="H8" s="8"/>
      <c r="J8" s="8" t="s">
        <v>2</v>
      </c>
      <c r="K8" s="8"/>
      <c r="L8" s="8"/>
      <c r="N8" s="8" t="s">
        <v>3</v>
      </c>
      <c r="O8" s="8"/>
      <c r="P8" s="8"/>
    </row>
    <row r="9" spans="1:16" ht="33" x14ac:dyDescent="0.35">
      <c r="B9" s="9">
        <v>5200000</v>
      </c>
      <c r="C9" s="9"/>
      <c r="D9" s="9"/>
      <c r="F9" s="10">
        <v>0.42</v>
      </c>
      <c r="G9" s="10"/>
      <c r="H9" s="10"/>
      <c r="J9" s="9">
        <v>884000</v>
      </c>
      <c r="K9" s="9"/>
      <c r="L9" s="9"/>
      <c r="N9" s="9">
        <v>245</v>
      </c>
      <c r="O9" s="9"/>
      <c r="P9" s="9"/>
    </row>
    <row r="10" spans="1:16" x14ac:dyDescent="0.35">
      <c r="B10" s="11" t="s">
        <v>122</v>
      </c>
      <c r="C10" s="11"/>
      <c r="D10" s="11"/>
      <c r="F10" s="11" t="s">
        <v>123</v>
      </c>
      <c r="G10" s="11"/>
      <c r="H10" s="11"/>
      <c r="J10" s="11" t="s">
        <v>124</v>
      </c>
      <c r="K10" s="11"/>
      <c r="L10" s="11"/>
      <c r="N10" s="11" t="s">
        <v>125</v>
      </c>
      <c r="O10" s="11"/>
      <c r="P10" s="11"/>
    </row>
    <row r="13" spans="1:16" ht="21" x14ac:dyDescent="0.35">
      <c r="B13" s="6" t="s">
        <v>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5">
      <c r="A14" s="12"/>
      <c r="B14" s="13"/>
      <c r="C14" s="12" t="s">
        <v>126</v>
      </c>
      <c r="D14" s="12" t="s">
        <v>127</v>
      </c>
      <c r="E14" s="12" t="s">
        <v>128</v>
      </c>
      <c r="F14" s="12" t="s">
        <v>129</v>
      </c>
      <c r="G14" s="12" t="s">
        <v>130</v>
      </c>
      <c r="H14" s="12" t="s">
        <v>131</v>
      </c>
      <c r="I14" s="12" t="s">
        <v>132</v>
      </c>
      <c r="J14" s="12" t="s">
        <v>133</v>
      </c>
      <c r="K14" s="12" t="s">
        <v>134</v>
      </c>
      <c r="L14" s="12" t="s">
        <v>135</v>
      </c>
      <c r="M14" s="12" t="s">
        <v>136</v>
      </c>
      <c r="N14" s="12" t="s">
        <v>137</v>
      </c>
      <c r="O14" s="12" t="s">
        <v>5</v>
      </c>
    </row>
    <row r="15" spans="1:16" x14ac:dyDescent="0.35">
      <c r="B15" s="14" t="s">
        <v>138</v>
      </c>
      <c r="C15" s="15">
        <v>1850000</v>
      </c>
      <c r="D15" s="15">
        <v>1720000</v>
      </c>
      <c r="E15" s="15">
        <v>2100000</v>
      </c>
      <c r="F15" s="15">
        <v>1980000</v>
      </c>
      <c r="G15" s="15">
        <v>2250000</v>
      </c>
      <c r="H15" s="15">
        <v>2380000</v>
      </c>
      <c r="I15" s="15">
        <v>2650000</v>
      </c>
      <c r="J15" s="15">
        <v>2800000</v>
      </c>
      <c r="K15" s="15">
        <v>2450000</v>
      </c>
      <c r="L15" s="15">
        <v>2300000</v>
      </c>
      <c r="M15" s="15">
        <v>2550000</v>
      </c>
      <c r="N15" s="15">
        <v>3100000</v>
      </c>
      <c r="O15" s="16">
        <f t="shared" ref="O15:O20" si="0">SUM(C15:N15)</f>
        <v>28130000</v>
      </c>
    </row>
    <row r="16" spans="1:16" x14ac:dyDescent="0.35">
      <c r="B16" s="14" t="s">
        <v>6</v>
      </c>
      <c r="C16" s="15">
        <v>920000</v>
      </c>
      <c r="D16" s="15">
        <v>880000</v>
      </c>
      <c r="E16" s="15">
        <v>1050000</v>
      </c>
      <c r="F16" s="15">
        <v>960000</v>
      </c>
      <c r="G16" s="15">
        <v>1100000</v>
      </c>
      <c r="H16" s="15">
        <v>1180000</v>
      </c>
      <c r="I16" s="15">
        <v>1300000</v>
      </c>
      <c r="J16" s="15">
        <v>1400000</v>
      </c>
      <c r="K16" s="15">
        <v>1200000</v>
      </c>
      <c r="L16" s="15">
        <v>1150000</v>
      </c>
      <c r="M16" s="15">
        <v>1280000</v>
      </c>
      <c r="N16" s="15">
        <v>1550000</v>
      </c>
      <c r="O16" s="16">
        <f t="shared" si="0"/>
        <v>13970000</v>
      </c>
    </row>
    <row r="17" spans="1:15" x14ac:dyDescent="0.35">
      <c r="B17" s="14" t="s">
        <v>7</v>
      </c>
      <c r="C17" s="15">
        <v>1200000</v>
      </c>
      <c r="D17" s="15">
        <v>1150000</v>
      </c>
      <c r="E17" s="15">
        <v>1380000</v>
      </c>
      <c r="F17" s="15">
        <v>1250000</v>
      </c>
      <c r="G17" s="15">
        <v>1420000</v>
      </c>
      <c r="H17" s="15">
        <v>1500000</v>
      </c>
      <c r="I17" s="15">
        <v>1650000</v>
      </c>
      <c r="J17" s="15">
        <v>1750000</v>
      </c>
      <c r="K17" s="15">
        <v>1550000</v>
      </c>
      <c r="L17" s="15">
        <v>1480000</v>
      </c>
      <c r="M17" s="15">
        <v>1600000</v>
      </c>
      <c r="N17" s="15">
        <v>1900000</v>
      </c>
      <c r="O17" s="16">
        <f t="shared" si="0"/>
        <v>17830000</v>
      </c>
    </row>
    <row r="18" spans="1:15" x14ac:dyDescent="0.35">
      <c r="A18" s="17"/>
      <c r="B18" s="18" t="s">
        <v>8</v>
      </c>
      <c r="C18" s="19">
        <f t="shared" ref="C18:N18" si="1">SUM(C15:C17)</f>
        <v>3970000</v>
      </c>
      <c r="D18" s="19">
        <f t="shared" si="1"/>
        <v>3750000</v>
      </c>
      <c r="E18" s="19">
        <f t="shared" si="1"/>
        <v>4530000</v>
      </c>
      <c r="F18" s="19">
        <f t="shared" si="1"/>
        <v>4190000</v>
      </c>
      <c r="G18" s="19">
        <f t="shared" si="1"/>
        <v>4770000</v>
      </c>
      <c r="H18" s="19">
        <f t="shared" si="1"/>
        <v>5060000</v>
      </c>
      <c r="I18" s="19">
        <f t="shared" si="1"/>
        <v>5600000</v>
      </c>
      <c r="J18" s="19">
        <f t="shared" si="1"/>
        <v>5950000</v>
      </c>
      <c r="K18" s="19">
        <f t="shared" si="1"/>
        <v>5200000</v>
      </c>
      <c r="L18" s="19">
        <f t="shared" si="1"/>
        <v>4930000</v>
      </c>
      <c r="M18" s="19">
        <f t="shared" si="1"/>
        <v>5430000</v>
      </c>
      <c r="N18" s="19">
        <f t="shared" si="1"/>
        <v>6550000</v>
      </c>
      <c r="O18" s="19">
        <f t="shared" si="0"/>
        <v>59930000</v>
      </c>
    </row>
    <row r="19" spans="1:15" x14ac:dyDescent="0.35">
      <c r="B19" s="14" t="s">
        <v>9</v>
      </c>
      <c r="C19" s="15">
        <f t="shared" ref="C19:N19" si="2">ROUND(C18*0.58,0)</f>
        <v>2302600</v>
      </c>
      <c r="D19" s="15">
        <f t="shared" si="2"/>
        <v>2175000</v>
      </c>
      <c r="E19" s="15">
        <f t="shared" si="2"/>
        <v>2627400</v>
      </c>
      <c r="F19" s="15">
        <f t="shared" si="2"/>
        <v>2430200</v>
      </c>
      <c r="G19" s="15">
        <f t="shared" si="2"/>
        <v>2766600</v>
      </c>
      <c r="H19" s="15">
        <f t="shared" si="2"/>
        <v>2934800</v>
      </c>
      <c r="I19" s="15">
        <f t="shared" si="2"/>
        <v>3248000</v>
      </c>
      <c r="J19" s="15">
        <f t="shared" si="2"/>
        <v>3451000</v>
      </c>
      <c r="K19" s="15">
        <f t="shared" si="2"/>
        <v>3016000</v>
      </c>
      <c r="L19" s="15">
        <f t="shared" si="2"/>
        <v>2859400</v>
      </c>
      <c r="M19" s="15">
        <f t="shared" si="2"/>
        <v>3149400</v>
      </c>
      <c r="N19" s="15">
        <f t="shared" si="2"/>
        <v>3799000</v>
      </c>
      <c r="O19" s="20">
        <f t="shared" si="0"/>
        <v>34759400</v>
      </c>
    </row>
    <row r="20" spans="1:15" x14ac:dyDescent="0.35">
      <c r="B20" s="14" t="s">
        <v>10</v>
      </c>
      <c r="C20" s="15">
        <f t="shared" ref="C20:N20" si="3">C18-C19</f>
        <v>1667400</v>
      </c>
      <c r="D20" s="15">
        <f t="shared" si="3"/>
        <v>1575000</v>
      </c>
      <c r="E20" s="15">
        <f t="shared" si="3"/>
        <v>1902600</v>
      </c>
      <c r="F20" s="15">
        <f t="shared" si="3"/>
        <v>1759800</v>
      </c>
      <c r="G20" s="15">
        <f t="shared" si="3"/>
        <v>2003400</v>
      </c>
      <c r="H20" s="15">
        <f t="shared" si="3"/>
        <v>2125200</v>
      </c>
      <c r="I20" s="15">
        <f t="shared" si="3"/>
        <v>2352000</v>
      </c>
      <c r="J20" s="15">
        <f t="shared" si="3"/>
        <v>2499000</v>
      </c>
      <c r="K20" s="15">
        <f t="shared" si="3"/>
        <v>2184000</v>
      </c>
      <c r="L20" s="15">
        <f t="shared" si="3"/>
        <v>2070600</v>
      </c>
      <c r="M20" s="15">
        <f t="shared" si="3"/>
        <v>2280600</v>
      </c>
      <c r="N20" s="15">
        <f t="shared" si="3"/>
        <v>2751000</v>
      </c>
      <c r="O20" s="20">
        <f t="shared" si="0"/>
        <v>25170600</v>
      </c>
    </row>
    <row r="21" spans="1:15" x14ac:dyDescent="0.35">
      <c r="B21" s="14" t="s">
        <v>1</v>
      </c>
      <c r="C21" s="21">
        <f t="shared" ref="C21:O21" si="4">IF(C18=0,0,C20/C18)</f>
        <v>0.42</v>
      </c>
      <c r="D21" s="21">
        <f t="shared" si="4"/>
        <v>0.42</v>
      </c>
      <c r="E21" s="21">
        <f t="shared" si="4"/>
        <v>0.42</v>
      </c>
      <c r="F21" s="21">
        <f t="shared" si="4"/>
        <v>0.42</v>
      </c>
      <c r="G21" s="21">
        <f t="shared" si="4"/>
        <v>0.42</v>
      </c>
      <c r="H21" s="21">
        <f t="shared" si="4"/>
        <v>0.42</v>
      </c>
      <c r="I21" s="21">
        <f t="shared" si="4"/>
        <v>0.42</v>
      </c>
      <c r="J21" s="21">
        <f t="shared" si="4"/>
        <v>0.42</v>
      </c>
      <c r="K21" s="21">
        <f t="shared" si="4"/>
        <v>0.42</v>
      </c>
      <c r="L21" s="21">
        <f t="shared" si="4"/>
        <v>0.42</v>
      </c>
      <c r="M21" s="21">
        <f t="shared" si="4"/>
        <v>0.42</v>
      </c>
      <c r="N21" s="21">
        <f t="shared" si="4"/>
        <v>0.42</v>
      </c>
      <c r="O21" s="22">
        <f t="shared" si="4"/>
        <v>0.42</v>
      </c>
    </row>
    <row r="22" spans="1:15" x14ac:dyDescent="0.35">
      <c r="B22" s="23" t="s">
        <v>11</v>
      </c>
      <c r="C22" s="24">
        <v>0.42</v>
      </c>
      <c r="D22" s="24">
        <v>0.42</v>
      </c>
      <c r="E22" s="24">
        <v>0.42</v>
      </c>
      <c r="F22" s="24">
        <v>0.42</v>
      </c>
      <c r="G22" s="24">
        <v>0.42</v>
      </c>
      <c r="H22" s="24">
        <v>0.42</v>
      </c>
      <c r="I22" s="24">
        <v>0.42</v>
      </c>
      <c r="J22" s="24">
        <v>0.42</v>
      </c>
      <c r="K22" s="24">
        <v>0.42</v>
      </c>
      <c r="L22" s="24">
        <v>0.42</v>
      </c>
      <c r="M22" s="24">
        <v>0.42</v>
      </c>
      <c r="N22" s="24">
        <v>0.42</v>
      </c>
    </row>
  </sheetData>
  <mergeCells count="18">
    <mergeCell ref="B10:D10"/>
    <mergeCell ref="F10:H10"/>
    <mergeCell ref="J10:L10"/>
    <mergeCell ref="N10:P10"/>
    <mergeCell ref="B13:P13"/>
    <mergeCell ref="B8:D8"/>
    <mergeCell ref="F8:H8"/>
    <mergeCell ref="J8:L8"/>
    <mergeCell ref="N8:P8"/>
    <mergeCell ref="B9:D9"/>
    <mergeCell ref="F9:H9"/>
    <mergeCell ref="J9:L9"/>
    <mergeCell ref="N9:P9"/>
    <mergeCell ref="B1:P1"/>
    <mergeCell ref="B2:P2"/>
    <mergeCell ref="B3:D3"/>
    <mergeCell ref="N3:P3"/>
    <mergeCell ref="B5:P5"/>
  </mergeCells>
  <phoneticPr fontId="14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O32"/>
  <sheetViews>
    <sheetView showGridLines="0" topLeftCell="A25" zoomScaleNormal="100" workbookViewId="0">
      <selection activeCell="V49" sqref="V49"/>
    </sheetView>
  </sheetViews>
  <sheetFormatPr defaultColWidth="8.7109375" defaultRowHeight="18" x14ac:dyDescent="0.35"/>
  <cols>
    <col min="1" max="1" width="3" style="1" customWidth="1"/>
    <col min="2" max="17" width="12" style="1" customWidth="1"/>
    <col min="18" max="16384" width="8.7109375" style="1"/>
  </cols>
  <sheetData>
    <row r="1" spans="1:14" ht="21.6" customHeight="1" x14ac:dyDescent="0.35">
      <c r="B1" s="2" t="s">
        <v>12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3.75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21" x14ac:dyDescent="0.35">
      <c r="B4" s="6" t="s">
        <v>13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6" spans="1:14" x14ac:dyDescent="0.35">
      <c r="B6" s="7"/>
      <c r="C6" s="7"/>
      <c r="D6" s="7"/>
      <c r="F6" s="7"/>
      <c r="G6" s="7"/>
      <c r="H6" s="7"/>
      <c r="J6" s="7"/>
      <c r="K6" s="7"/>
      <c r="L6" s="7"/>
    </row>
    <row r="7" spans="1:14" x14ac:dyDescent="0.35">
      <c r="B7" s="8" t="s">
        <v>139</v>
      </c>
      <c r="C7" s="8"/>
      <c r="D7" s="8"/>
      <c r="F7" s="8" t="s">
        <v>14</v>
      </c>
      <c r="G7" s="8"/>
      <c r="H7" s="8"/>
      <c r="J7" s="8" t="s">
        <v>15</v>
      </c>
      <c r="K7" s="8"/>
      <c r="L7" s="8"/>
    </row>
    <row r="8" spans="1:14" ht="33" x14ac:dyDescent="0.35">
      <c r="B8" s="9">
        <v>28130000</v>
      </c>
      <c r="C8" s="9"/>
      <c r="D8" s="9"/>
      <c r="F8" s="9">
        <v>13970000</v>
      </c>
      <c r="G8" s="9"/>
      <c r="H8" s="9"/>
      <c r="J8" s="9">
        <v>17330000</v>
      </c>
      <c r="K8" s="9"/>
      <c r="L8" s="9"/>
    </row>
    <row r="9" spans="1:14" x14ac:dyDescent="0.35">
      <c r="B9" s="11" t="s">
        <v>140</v>
      </c>
      <c r="C9" s="11"/>
      <c r="D9" s="11"/>
      <c r="F9" s="11" t="s">
        <v>141</v>
      </c>
      <c r="G9" s="11"/>
      <c r="H9" s="11"/>
      <c r="J9" s="11" t="s">
        <v>142</v>
      </c>
      <c r="K9" s="11"/>
      <c r="L9" s="11"/>
    </row>
    <row r="12" spans="1:14" ht="21" x14ac:dyDescent="0.35">
      <c r="B12" s="6" t="s">
        <v>143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5">
      <c r="A13" s="25"/>
      <c r="B13" s="25" t="s">
        <v>16</v>
      </c>
      <c r="C13" s="25" t="s">
        <v>144</v>
      </c>
      <c r="D13" s="25" t="s">
        <v>17</v>
      </c>
      <c r="E13" s="25" t="s">
        <v>18</v>
      </c>
      <c r="F13" s="25" t="s">
        <v>19</v>
      </c>
    </row>
    <row r="14" spans="1:14" x14ac:dyDescent="0.35">
      <c r="B14" s="26" t="s">
        <v>20</v>
      </c>
      <c r="C14" s="27">
        <v>28130000</v>
      </c>
      <c r="D14" s="27">
        <v>13970000</v>
      </c>
      <c r="E14" s="27">
        <v>17330000</v>
      </c>
      <c r="F14" s="27">
        <v>59430000</v>
      </c>
    </row>
    <row r="15" spans="1:14" x14ac:dyDescent="0.35">
      <c r="B15" s="28" t="s">
        <v>21</v>
      </c>
      <c r="C15" s="29">
        <v>3200</v>
      </c>
      <c r="D15" s="29">
        <v>2800</v>
      </c>
      <c r="E15" s="29">
        <v>15000</v>
      </c>
      <c r="F15" s="29">
        <v>4500</v>
      </c>
    </row>
    <row r="16" spans="1:14" x14ac:dyDescent="0.35">
      <c r="B16" s="26" t="s">
        <v>3</v>
      </c>
      <c r="C16" s="27">
        <v>180</v>
      </c>
      <c r="D16" s="27">
        <v>95</v>
      </c>
      <c r="E16" s="27">
        <v>25</v>
      </c>
      <c r="F16" s="27">
        <v>300</v>
      </c>
    </row>
    <row r="17" spans="2:15" x14ac:dyDescent="0.35">
      <c r="B17" s="28" t="s">
        <v>22</v>
      </c>
      <c r="C17" s="30">
        <v>0.45</v>
      </c>
      <c r="D17" s="30">
        <v>0.62</v>
      </c>
      <c r="E17" s="30">
        <v>0.78</v>
      </c>
      <c r="F17" s="30">
        <v>0.55000000000000004</v>
      </c>
    </row>
    <row r="18" spans="2:15" x14ac:dyDescent="0.35">
      <c r="B18" s="26" t="s">
        <v>1</v>
      </c>
      <c r="C18" s="31">
        <v>0.45</v>
      </c>
      <c r="D18" s="31">
        <v>0.38</v>
      </c>
      <c r="E18" s="31">
        <v>0.4</v>
      </c>
      <c r="F18" s="31">
        <v>0.42</v>
      </c>
    </row>
    <row r="19" spans="2:15" x14ac:dyDescent="0.35">
      <c r="B19" s="28" t="s">
        <v>23</v>
      </c>
      <c r="C19" s="29">
        <v>1200</v>
      </c>
      <c r="D19" s="29">
        <v>500</v>
      </c>
      <c r="E19" s="29">
        <v>800</v>
      </c>
      <c r="F19" s="29">
        <v>900</v>
      </c>
    </row>
    <row r="20" spans="2:15" x14ac:dyDescent="0.35">
      <c r="B20" s="26" t="s">
        <v>145</v>
      </c>
      <c r="C20" s="27">
        <v>28000</v>
      </c>
      <c r="D20" s="27">
        <v>42000</v>
      </c>
      <c r="E20" s="27">
        <v>180000</v>
      </c>
      <c r="F20" s="27">
        <v>55000</v>
      </c>
    </row>
    <row r="23" spans="2:15" ht="21" x14ac:dyDescent="0.35">
      <c r="B23" s="6" t="s">
        <v>24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2:15" x14ac:dyDescent="0.35">
      <c r="B24" s="12" t="s">
        <v>25</v>
      </c>
      <c r="C24" s="12" t="s">
        <v>126</v>
      </c>
      <c r="D24" s="12" t="s">
        <v>127</v>
      </c>
      <c r="E24" s="12" t="s">
        <v>128</v>
      </c>
      <c r="F24" s="12" t="s">
        <v>129</v>
      </c>
      <c r="G24" s="12" t="s">
        <v>130</v>
      </c>
      <c r="H24" s="12" t="s">
        <v>131</v>
      </c>
      <c r="I24" s="12" t="s">
        <v>132</v>
      </c>
      <c r="J24" s="12" t="s">
        <v>133</v>
      </c>
      <c r="K24" s="12" t="s">
        <v>134</v>
      </c>
      <c r="L24" s="12" t="s">
        <v>135</v>
      </c>
      <c r="M24" s="12" t="s">
        <v>136</v>
      </c>
      <c r="N24" s="12" t="s">
        <v>137</v>
      </c>
    </row>
    <row r="25" spans="2:15" x14ac:dyDescent="0.35">
      <c r="B25" s="14" t="s">
        <v>144</v>
      </c>
      <c r="C25" s="15">
        <v>1850000</v>
      </c>
      <c r="D25" s="15">
        <v>1720000</v>
      </c>
      <c r="E25" s="15">
        <v>2100000</v>
      </c>
      <c r="F25" s="15">
        <v>1980000</v>
      </c>
      <c r="G25" s="15">
        <v>2250000</v>
      </c>
      <c r="H25" s="15">
        <v>2380000</v>
      </c>
      <c r="I25" s="15">
        <v>2650000</v>
      </c>
      <c r="J25" s="15">
        <v>2800000</v>
      </c>
      <c r="K25" s="15">
        <v>2450000</v>
      </c>
      <c r="L25" s="15">
        <v>2300000</v>
      </c>
      <c r="M25" s="15">
        <v>2550000</v>
      </c>
      <c r="N25" s="15">
        <v>3100000</v>
      </c>
    </row>
    <row r="26" spans="2:15" x14ac:dyDescent="0.35">
      <c r="B26" s="32" t="s">
        <v>17</v>
      </c>
      <c r="C26" s="33">
        <v>920000</v>
      </c>
      <c r="D26" s="33">
        <v>880000</v>
      </c>
      <c r="E26" s="33">
        <v>1050000</v>
      </c>
      <c r="F26" s="33">
        <v>960000</v>
      </c>
      <c r="G26" s="33">
        <v>1100000</v>
      </c>
      <c r="H26" s="33">
        <v>1180000</v>
      </c>
      <c r="I26" s="33">
        <v>1300000</v>
      </c>
      <c r="J26" s="33">
        <v>1400000</v>
      </c>
      <c r="K26" s="33">
        <v>1200000</v>
      </c>
      <c r="L26" s="33">
        <v>1150000</v>
      </c>
      <c r="M26" s="33">
        <v>1280000</v>
      </c>
      <c r="N26" s="33">
        <v>1550000</v>
      </c>
    </row>
    <row r="27" spans="2:15" x14ac:dyDescent="0.35">
      <c r="B27" s="14" t="s">
        <v>18</v>
      </c>
      <c r="C27" s="15">
        <v>1200000</v>
      </c>
      <c r="D27" s="15">
        <v>1150000</v>
      </c>
      <c r="E27" s="15">
        <v>1380000</v>
      </c>
      <c r="F27" s="15">
        <v>1250000</v>
      </c>
      <c r="G27" s="15">
        <v>1420000</v>
      </c>
      <c r="H27" s="15">
        <v>1500000</v>
      </c>
      <c r="I27" s="15">
        <v>1650000</v>
      </c>
      <c r="J27" s="15">
        <v>1750000</v>
      </c>
      <c r="K27" s="15">
        <v>1550000</v>
      </c>
      <c r="L27" s="15">
        <v>1480000</v>
      </c>
      <c r="M27" s="15">
        <v>1600000</v>
      </c>
      <c r="N27" s="15">
        <v>1900000</v>
      </c>
    </row>
    <row r="29" spans="2:15" ht="21" x14ac:dyDescent="0.35">
      <c r="B29" s="6" t="s">
        <v>26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2:15" x14ac:dyDescent="0.35">
      <c r="B30" s="14" t="s">
        <v>144</v>
      </c>
      <c r="C30" s="34" t="s">
        <v>27</v>
      </c>
      <c r="E30" s="35">
        <f t="shared" ref="E30:O30" si="0">IF(D25=0,0,(E25-D25)/D25)</f>
        <v>0.22093023255813954</v>
      </c>
      <c r="F30" s="35">
        <f t="shared" si="0"/>
        <v>-5.7142857142857141E-2</v>
      </c>
      <c r="G30" s="35">
        <f t="shared" si="0"/>
        <v>0.13636363636363635</v>
      </c>
      <c r="H30" s="35">
        <f t="shared" si="0"/>
        <v>5.7777777777777775E-2</v>
      </c>
      <c r="I30" s="35">
        <f t="shared" si="0"/>
        <v>0.1134453781512605</v>
      </c>
      <c r="J30" s="35">
        <f t="shared" si="0"/>
        <v>5.6603773584905662E-2</v>
      </c>
      <c r="K30" s="35">
        <f t="shared" si="0"/>
        <v>-0.125</v>
      </c>
      <c r="L30" s="35">
        <f t="shared" si="0"/>
        <v>-6.1224489795918366E-2</v>
      </c>
      <c r="M30" s="35">
        <f t="shared" si="0"/>
        <v>0.10869565217391304</v>
      </c>
      <c r="N30" s="35">
        <f t="shared" si="0"/>
        <v>0.21568627450980393</v>
      </c>
      <c r="O30" s="35">
        <f t="shared" si="0"/>
        <v>-1</v>
      </c>
    </row>
    <row r="31" spans="2:15" x14ac:dyDescent="0.35">
      <c r="B31" s="14" t="s">
        <v>17</v>
      </c>
      <c r="C31" s="34" t="s">
        <v>27</v>
      </c>
      <c r="E31" s="35">
        <f t="shared" ref="E31:O31" si="1">IF(D26=0,0,(E26-D26)/D26)</f>
        <v>0.19318181818181818</v>
      </c>
      <c r="F31" s="35">
        <f t="shared" si="1"/>
        <v>-8.5714285714285715E-2</v>
      </c>
      <c r="G31" s="35">
        <f t="shared" si="1"/>
        <v>0.14583333333333334</v>
      </c>
      <c r="H31" s="35">
        <f t="shared" si="1"/>
        <v>7.2727272727272724E-2</v>
      </c>
      <c r="I31" s="35">
        <f t="shared" si="1"/>
        <v>0.10169491525423729</v>
      </c>
      <c r="J31" s="35">
        <f t="shared" si="1"/>
        <v>7.6923076923076927E-2</v>
      </c>
      <c r="K31" s="35">
        <f t="shared" si="1"/>
        <v>-0.14285714285714285</v>
      </c>
      <c r="L31" s="35">
        <f t="shared" si="1"/>
        <v>-4.1666666666666664E-2</v>
      </c>
      <c r="M31" s="35">
        <f t="shared" si="1"/>
        <v>0.11304347826086956</v>
      </c>
      <c r="N31" s="35">
        <f t="shared" si="1"/>
        <v>0.2109375</v>
      </c>
      <c r="O31" s="35">
        <f t="shared" si="1"/>
        <v>-1</v>
      </c>
    </row>
    <row r="32" spans="2:15" x14ac:dyDescent="0.35">
      <c r="B32" s="14" t="s">
        <v>18</v>
      </c>
      <c r="C32" s="34" t="s">
        <v>27</v>
      </c>
      <c r="E32" s="35">
        <f t="shared" ref="E32:O32" si="2">IF(D27=0,0,(E27-D27)/D27)</f>
        <v>0.2</v>
      </c>
      <c r="F32" s="35">
        <f t="shared" si="2"/>
        <v>-9.420289855072464E-2</v>
      </c>
      <c r="G32" s="35">
        <f t="shared" si="2"/>
        <v>0.13600000000000001</v>
      </c>
      <c r="H32" s="35">
        <f t="shared" si="2"/>
        <v>5.6338028169014086E-2</v>
      </c>
      <c r="I32" s="35">
        <f t="shared" si="2"/>
        <v>0.1</v>
      </c>
      <c r="J32" s="35">
        <f t="shared" si="2"/>
        <v>6.0606060606060608E-2</v>
      </c>
      <c r="K32" s="35">
        <f t="shared" si="2"/>
        <v>-0.11428571428571428</v>
      </c>
      <c r="L32" s="35">
        <f t="shared" si="2"/>
        <v>-4.5161290322580643E-2</v>
      </c>
      <c r="M32" s="35">
        <f t="shared" si="2"/>
        <v>8.1081081081081086E-2</v>
      </c>
      <c r="N32" s="35">
        <f t="shared" si="2"/>
        <v>0.1875</v>
      </c>
      <c r="O32" s="35">
        <f t="shared" si="2"/>
        <v>-1</v>
      </c>
    </row>
  </sheetData>
  <mergeCells count="15">
    <mergeCell ref="B12:N12"/>
    <mergeCell ref="B23:N23"/>
    <mergeCell ref="B29:N29"/>
    <mergeCell ref="B8:D8"/>
    <mergeCell ref="F8:H8"/>
    <mergeCell ref="J8:L8"/>
    <mergeCell ref="B9:D9"/>
    <mergeCell ref="F9:H9"/>
    <mergeCell ref="J9:L9"/>
    <mergeCell ref="B1:N1"/>
    <mergeCell ref="B2:N2"/>
    <mergeCell ref="B4:N4"/>
    <mergeCell ref="B7:D7"/>
    <mergeCell ref="F7:H7"/>
    <mergeCell ref="J7:L7"/>
  </mergeCells>
  <phoneticPr fontId="14"/>
  <conditionalFormatting sqref="D30:N32">
    <cfRule type="cellIs" dxfId="3" priority="2" operator="greaterThan">
      <formula>0</formula>
    </cfRule>
    <cfRule type="cellIs" dxfId="2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39C12"/>
  </sheetPr>
  <dimension ref="B1:L36"/>
  <sheetViews>
    <sheetView showGridLines="0" zoomScaleNormal="100" workbookViewId="0">
      <selection activeCell="M16" sqref="M16"/>
    </sheetView>
  </sheetViews>
  <sheetFormatPr defaultColWidth="8.7109375" defaultRowHeight="18" x14ac:dyDescent="0.35"/>
  <cols>
    <col min="1" max="1" width="3" style="1" customWidth="1"/>
    <col min="2" max="2" width="14" style="1" customWidth="1"/>
    <col min="3" max="3" width="22" style="1" customWidth="1"/>
    <col min="4" max="5" width="13" style="1" customWidth="1"/>
    <col min="6" max="6" width="35" style="1" customWidth="1"/>
    <col min="7" max="15" width="13" style="1" customWidth="1"/>
    <col min="16" max="16384" width="8.7109375" style="1"/>
  </cols>
  <sheetData>
    <row r="1" spans="2:12" ht="21.6" customHeight="1" x14ac:dyDescent="0.35">
      <c r="B1" s="2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3.75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2:12" ht="21" x14ac:dyDescent="0.35">
      <c r="B4" s="6" t="s">
        <v>29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2:12" x14ac:dyDescent="0.35">
      <c r="B5" s="25" t="s">
        <v>30</v>
      </c>
      <c r="C5" s="25" t="s">
        <v>31</v>
      </c>
      <c r="D5" s="25" t="s">
        <v>32</v>
      </c>
      <c r="E5" s="25" t="s">
        <v>33</v>
      </c>
      <c r="F5" s="25" t="s">
        <v>34</v>
      </c>
      <c r="G5" s="25" t="s">
        <v>1</v>
      </c>
      <c r="H5" s="25" t="s">
        <v>35</v>
      </c>
      <c r="I5" s="25" t="s">
        <v>36</v>
      </c>
    </row>
    <row r="6" spans="2:12" x14ac:dyDescent="0.35">
      <c r="B6" s="36">
        <v>1</v>
      </c>
      <c r="C6" s="37" t="s">
        <v>146</v>
      </c>
      <c r="D6" s="27">
        <v>850</v>
      </c>
      <c r="E6" s="27">
        <v>2040000</v>
      </c>
      <c r="F6" s="27">
        <v>1190000</v>
      </c>
      <c r="G6" s="31">
        <v>0.58299999999999996</v>
      </c>
      <c r="H6" s="31">
        <v>0.252</v>
      </c>
      <c r="I6" s="31">
        <v>0.252</v>
      </c>
    </row>
    <row r="7" spans="2:12" x14ac:dyDescent="0.35">
      <c r="B7" s="38">
        <v>2</v>
      </c>
      <c r="C7" s="39" t="s">
        <v>147</v>
      </c>
      <c r="D7" s="29">
        <v>720</v>
      </c>
      <c r="E7" s="29">
        <v>1296000</v>
      </c>
      <c r="F7" s="29">
        <v>756000</v>
      </c>
      <c r="G7" s="30">
        <v>0.58299999999999996</v>
      </c>
      <c r="H7" s="30">
        <v>0.218</v>
      </c>
      <c r="I7" s="30">
        <v>0.47</v>
      </c>
    </row>
    <row r="8" spans="2:12" x14ac:dyDescent="0.35">
      <c r="B8" s="36">
        <v>3</v>
      </c>
      <c r="C8" s="37" t="s">
        <v>148</v>
      </c>
      <c r="D8" s="27">
        <v>680</v>
      </c>
      <c r="E8" s="27">
        <v>816000</v>
      </c>
      <c r="F8" s="27">
        <v>571200</v>
      </c>
      <c r="G8" s="31">
        <v>0.7</v>
      </c>
      <c r="H8" s="31">
        <v>0.13700000000000001</v>
      </c>
      <c r="I8" s="31">
        <v>0.60699999999999998</v>
      </c>
    </row>
    <row r="9" spans="2:12" x14ac:dyDescent="0.35">
      <c r="B9" s="38">
        <v>4</v>
      </c>
      <c r="C9" s="39" t="s">
        <v>149</v>
      </c>
      <c r="D9" s="29">
        <v>420</v>
      </c>
      <c r="E9" s="29">
        <v>630000</v>
      </c>
      <c r="F9" s="29">
        <v>357000</v>
      </c>
      <c r="G9" s="30">
        <v>0.56699999999999995</v>
      </c>
      <c r="H9" s="30">
        <v>0.106</v>
      </c>
      <c r="I9" s="30">
        <v>0.71299999999999997</v>
      </c>
    </row>
    <row r="10" spans="2:12" x14ac:dyDescent="0.35">
      <c r="B10" s="36">
        <v>5</v>
      </c>
      <c r="C10" s="37" t="s">
        <v>150</v>
      </c>
      <c r="D10" s="27">
        <v>580</v>
      </c>
      <c r="E10" s="27">
        <v>464000</v>
      </c>
      <c r="F10" s="27">
        <v>263000</v>
      </c>
      <c r="G10" s="31">
        <v>0.56699999999999995</v>
      </c>
      <c r="H10" s="31">
        <v>7.8E-2</v>
      </c>
      <c r="I10" s="31">
        <v>0.79100000000000004</v>
      </c>
    </row>
    <row r="11" spans="2:12" x14ac:dyDescent="0.35">
      <c r="B11" s="38">
        <v>6</v>
      </c>
      <c r="C11" s="39" t="s">
        <v>151</v>
      </c>
      <c r="D11" s="29">
        <v>390</v>
      </c>
      <c r="E11" s="29">
        <v>429000</v>
      </c>
      <c r="F11" s="29">
        <v>242000</v>
      </c>
      <c r="G11" s="30">
        <v>0.56399999999999995</v>
      </c>
      <c r="H11" s="30">
        <v>7.1999999999999995E-2</v>
      </c>
      <c r="I11" s="30">
        <v>0.86299999999999999</v>
      </c>
    </row>
    <row r="12" spans="2:12" x14ac:dyDescent="0.35">
      <c r="B12" s="36">
        <v>7</v>
      </c>
      <c r="C12" s="37" t="s">
        <v>152</v>
      </c>
      <c r="D12" s="27">
        <v>350</v>
      </c>
      <c r="E12" s="27">
        <v>343000</v>
      </c>
      <c r="F12" s="27">
        <v>194000</v>
      </c>
      <c r="G12" s="31">
        <v>0.56599999999999995</v>
      </c>
      <c r="H12" s="31">
        <v>5.8000000000000003E-2</v>
      </c>
      <c r="I12" s="31">
        <v>0.92100000000000004</v>
      </c>
    </row>
    <row r="13" spans="2:12" x14ac:dyDescent="0.35">
      <c r="B13" s="38">
        <v>8</v>
      </c>
      <c r="C13" s="39" t="s">
        <v>153</v>
      </c>
      <c r="D13" s="29">
        <v>360</v>
      </c>
      <c r="E13" s="29">
        <v>234000</v>
      </c>
      <c r="F13" s="29">
        <v>133000</v>
      </c>
      <c r="G13" s="30">
        <v>0.56899999999999995</v>
      </c>
      <c r="H13" s="30">
        <v>3.9E-2</v>
      </c>
      <c r="I13" s="30">
        <v>0.96</v>
      </c>
    </row>
    <row r="14" spans="2:12" x14ac:dyDescent="0.35">
      <c r="B14" s="40"/>
      <c r="C14" s="40" t="s">
        <v>5</v>
      </c>
      <c r="D14" s="41">
        <f>SUM(D6:D13)</f>
        <v>4350</v>
      </c>
      <c r="E14" s="41">
        <f>SUM(E6:E13)</f>
        <v>6252000</v>
      </c>
      <c r="F14" s="41">
        <f>SUM(F6:F13)</f>
        <v>3706200</v>
      </c>
      <c r="G14" s="42">
        <f>IF(E14=0,0,F14/E14)</f>
        <v>0.5928023032629558</v>
      </c>
      <c r="H14" s="42">
        <v>1</v>
      </c>
    </row>
    <row r="32" spans="2:12" ht="21" x14ac:dyDescent="0.35">
      <c r="B32" s="6" t="s">
        <v>154</v>
      </c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2:6" x14ac:dyDescent="0.35">
      <c r="B33" s="25" t="s">
        <v>37</v>
      </c>
      <c r="C33" s="25" t="s">
        <v>38</v>
      </c>
      <c r="D33" s="25" t="s">
        <v>39</v>
      </c>
      <c r="E33" s="25" t="s">
        <v>35</v>
      </c>
      <c r="F33" s="25" t="s">
        <v>40</v>
      </c>
    </row>
    <row r="34" spans="2:6" x14ac:dyDescent="0.35">
      <c r="B34" s="43" t="s">
        <v>41</v>
      </c>
      <c r="C34" s="44" t="s">
        <v>155</v>
      </c>
      <c r="D34" s="45">
        <v>3</v>
      </c>
      <c r="E34" s="21">
        <v>0.60699999999999998</v>
      </c>
      <c r="F34" s="44" t="s">
        <v>42</v>
      </c>
    </row>
    <row r="35" spans="2:6" x14ac:dyDescent="0.35">
      <c r="B35" s="46" t="s">
        <v>43</v>
      </c>
      <c r="C35" s="47" t="s">
        <v>156</v>
      </c>
      <c r="D35" s="48">
        <v>3</v>
      </c>
      <c r="E35" s="49">
        <v>0.28399999999999997</v>
      </c>
      <c r="F35" s="47" t="s">
        <v>44</v>
      </c>
    </row>
    <row r="36" spans="2:6" x14ac:dyDescent="0.35">
      <c r="B36" s="50" t="s">
        <v>45</v>
      </c>
      <c r="C36" s="44" t="s">
        <v>157</v>
      </c>
      <c r="D36" s="45">
        <v>2</v>
      </c>
      <c r="E36" s="21">
        <v>9.7000000000000003E-2</v>
      </c>
      <c r="F36" s="44" t="s">
        <v>46</v>
      </c>
    </row>
  </sheetData>
  <mergeCells count="4">
    <mergeCell ref="B1:L1"/>
    <mergeCell ref="B2:L2"/>
    <mergeCell ref="B4:L4"/>
    <mergeCell ref="B32:L32"/>
  </mergeCells>
  <phoneticPr fontId="14"/>
  <conditionalFormatting sqref="E6:E13">
    <cfRule type="dataBar" priority="2">
      <dataBar>
        <cfvo type="min"/>
        <cfvo type="max"/>
        <color rgb="FF2E86AB"/>
      </dataBar>
      <extLst>
        <ext xmlns:x14="http://schemas.microsoft.com/office/spreadsheetml/2009/9/main" uri="{B025F937-C7B1-47D3-B67F-A62EFF666E3E}">
          <x14:id>{A0657990-BE99-4CE6-9C87-41D036F72660}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657990-BE99-4CE6-9C87-41D036F72660}">
            <x14:dataBar axisPosition="none">
              <x14:cfvo type="min"/>
              <x14:cfvo type="max"/>
              <x14:negativeFillColor rgb="FF2E86AB"/>
            </x14:dataBar>
          </x14:cfRule>
          <xm:sqref>E6:E13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B1:L33"/>
  <sheetViews>
    <sheetView showGridLines="0" zoomScaleNormal="100" workbookViewId="0">
      <selection activeCell="M11" sqref="M11"/>
    </sheetView>
  </sheetViews>
  <sheetFormatPr defaultColWidth="8.7109375" defaultRowHeight="18" x14ac:dyDescent="0.35"/>
  <cols>
    <col min="1" max="1" width="3" style="1" customWidth="1"/>
    <col min="2" max="2" width="22" style="1" customWidth="1"/>
    <col min="3" max="3" width="14" style="1" customWidth="1"/>
    <col min="4" max="4" width="18" style="1" customWidth="1"/>
    <col min="5" max="5" width="30" style="1" customWidth="1"/>
    <col min="6" max="13" width="14" style="1" customWidth="1"/>
    <col min="14" max="16384" width="8.7109375" style="1"/>
  </cols>
  <sheetData>
    <row r="1" spans="2:12" ht="21.6" customHeight="1" x14ac:dyDescent="0.35">
      <c r="B1" s="2" t="s">
        <v>158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3.75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2:12" ht="21" x14ac:dyDescent="0.35">
      <c r="B4" s="6" t="s">
        <v>159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2:12" x14ac:dyDescent="0.35">
      <c r="B5" s="25" t="s">
        <v>160</v>
      </c>
      <c r="C5" s="25" t="s">
        <v>47</v>
      </c>
      <c r="D5" s="25" t="s">
        <v>48</v>
      </c>
      <c r="E5" s="25" t="s">
        <v>49</v>
      </c>
      <c r="F5" s="25" t="s">
        <v>50</v>
      </c>
      <c r="G5" s="25" t="s">
        <v>51</v>
      </c>
      <c r="H5" s="25" t="s">
        <v>52</v>
      </c>
      <c r="I5" s="25" t="s">
        <v>53</v>
      </c>
    </row>
    <row r="6" spans="2:12" x14ac:dyDescent="0.35">
      <c r="B6" s="51" t="s">
        <v>54</v>
      </c>
      <c r="C6" s="45" t="s">
        <v>55</v>
      </c>
      <c r="D6" s="45" t="s">
        <v>161</v>
      </c>
      <c r="E6" s="45" t="s">
        <v>162</v>
      </c>
      <c r="F6" s="52">
        <v>0.99</v>
      </c>
      <c r="G6" s="53" t="s">
        <v>56</v>
      </c>
      <c r="H6" s="45" t="s">
        <v>57</v>
      </c>
      <c r="I6" s="45" t="s">
        <v>58</v>
      </c>
    </row>
    <row r="7" spans="2:12" x14ac:dyDescent="0.35">
      <c r="B7" s="54" t="s">
        <v>163</v>
      </c>
      <c r="C7" s="48" t="s">
        <v>55</v>
      </c>
      <c r="D7" s="48" t="s">
        <v>59</v>
      </c>
      <c r="E7" s="48" t="s">
        <v>60</v>
      </c>
      <c r="F7" s="55">
        <v>0.94599999999999995</v>
      </c>
      <c r="G7" s="56" t="s">
        <v>61</v>
      </c>
      <c r="H7" s="48" t="s">
        <v>164</v>
      </c>
      <c r="I7" s="48" t="s">
        <v>58</v>
      </c>
    </row>
    <row r="8" spans="2:12" x14ac:dyDescent="0.35">
      <c r="B8" s="51" t="s">
        <v>1</v>
      </c>
      <c r="C8" s="45" t="s">
        <v>62</v>
      </c>
      <c r="D8" s="45" t="s">
        <v>63</v>
      </c>
      <c r="E8" s="45" t="s">
        <v>64</v>
      </c>
      <c r="F8" s="52">
        <v>1</v>
      </c>
      <c r="G8" s="53" t="s">
        <v>56</v>
      </c>
      <c r="H8" s="45" t="s">
        <v>65</v>
      </c>
      <c r="I8" s="45" t="s">
        <v>58</v>
      </c>
    </row>
    <row r="9" spans="2:12" x14ac:dyDescent="0.35">
      <c r="B9" s="54" t="s">
        <v>66</v>
      </c>
      <c r="C9" s="48" t="s">
        <v>62</v>
      </c>
      <c r="D9" s="48" t="s">
        <v>67</v>
      </c>
      <c r="E9" s="48" t="s">
        <v>68</v>
      </c>
      <c r="F9" s="55">
        <v>0.98199999999999998</v>
      </c>
      <c r="G9" s="56" t="s">
        <v>61</v>
      </c>
      <c r="H9" s="48" t="s">
        <v>65</v>
      </c>
      <c r="I9" s="48" t="s">
        <v>58</v>
      </c>
    </row>
    <row r="10" spans="2:12" x14ac:dyDescent="0.35">
      <c r="B10" s="51" t="s">
        <v>3</v>
      </c>
      <c r="C10" s="45" t="s">
        <v>69</v>
      </c>
      <c r="D10" s="45" t="s">
        <v>165</v>
      </c>
      <c r="E10" s="45" t="s">
        <v>166</v>
      </c>
      <c r="F10" s="52">
        <v>0.81699999999999995</v>
      </c>
      <c r="G10" s="57" t="s">
        <v>70</v>
      </c>
      <c r="H10" s="45" t="s">
        <v>57</v>
      </c>
      <c r="I10" s="45" t="s">
        <v>58</v>
      </c>
    </row>
    <row r="11" spans="2:12" x14ac:dyDescent="0.35">
      <c r="B11" s="54" t="s">
        <v>22</v>
      </c>
      <c r="C11" s="48" t="s">
        <v>71</v>
      </c>
      <c r="D11" s="48" t="s">
        <v>72</v>
      </c>
      <c r="E11" s="48" t="s">
        <v>73</v>
      </c>
      <c r="F11" s="55">
        <v>0.91700000000000004</v>
      </c>
      <c r="G11" s="56" t="s">
        <v>61</v>
      </c>
      <c r="H11" s="48" t="s">
        <v>164</v>
      </c>
      <c r="I11" s="48" t="s">
        <v>74</v>
      </c>
    </row>
    <row r="12" spans="2:12" x14ac:dyDescent="0.35">
      <c r="B12" s="51" t="s">
        <v>21</v>
      </c>
      <c r="C12" s="45" t="s">
        <v>71</v>
      </c>
      <c r="D12" s="45" t="s">
        <v>167</v>
      </c>
      <c r="E12" s="45" t="s">
        <v>168</v>
      </c>
      <c r="F12" s="52">
        <v>0.9</v>
      </c>
      <c r="G12" s="56" t="s">
        <v>61</v>
      </c>
      <c r="H12" s="45" t="s">
        <v>57</v>
      </c>
      <c r="I12" s="45" t="s">
        <v>58</v>
      </c>
    </row>
    <row r="13" spans="2:12" x14ac:dyDescent="0.35">
      <c r="B13" s="54" t="s">
        <v>75</v>
      </c>
      <c r="C13" s="48" t="s">
        <v>76</v>
      </c>
      <c r="D13" s="48" t="s">
        <v>169</v>
      </c>
      <c r="E13" s="48" t="s">
        <v>170</v>
      </c>
      <c r="F13" s="55">
        <v>0.875</v>
      </c>
      <c r="G13" s="57" t="s">
        <v>70</v>
      </c>
      <c r="H13" s="48" t="s">
        <v>77</v>
      </c>
      <c r="I13" s="48" t="s">
        <v>58</v>
      </c>
    </row>
    <row r="14" spans="2:12" x14ac:dyDescent="0.35">
      <c r="B14" s="51" t="s">
        <v>78</v>
      </c>
      <c r="C14" s="45" t="s">
        <v>71</v>
      </c>
      <c r="D14" s="45" t="s">
        <v>171</v>
      </c>
      <c r="E14" s="45" t="s">
        <v>172</v>
      </c>
      <c r="F14" s="52">
        <v>0.76</v>
      </c>
      <c r="G14" s="57" t="s">
        <v>70</v>
      </c>
      <c r="H14" s="45" t="s">
        <v>79</v>
      </c>
      <c r="I14" s="45" t="s">
        <v>58</v>
      </c>
    </row>
    <row r="15" spans="2:12" x14ac:dyDescent="0.35">
      <c r="B15" s="54" t="s">
        <v>80</v>
      </c>
      <c r="C15" s="48" t="s">
        <v>71</v>
      </c>
      <c r="D15" s="48" t="s">
        <v>81</v>
      </c>
      <c r="E15" s="48" t="s">
        <v>82</v>
      </c>
      <c r="F15" s="55">
        <v>0.95599999999999996</v>
      </c>
      <c r="G15" s="56" t="s">
        <v>61</v>
      </c>
      <c r="H15" s="48" t="s">
        <v>83</v>
      </c>
      <c r="I15" s="48" t="s">
        <v>74</v>
      </c>
    </row>
    <row r="18" spans="2:12" ht="21" x14ac:dyDescent="0.35">
      <c r="B18" s="6" t="s">
        <v>84</v>
      </c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2:12" x14ac:dyDescent="0.35">
      <c r="B19" s="25" t="s">
        <v>47</v>
      </c>
      <c r="C19" s="25" t="s">
        <v>173</v>
      </c>
      <c r="D19" s="25" t="s">
        <v>56</v>
      </c>
      <c r="E19" s="25" t="s">
        <v>61</v>
      </c>
      <c r="F19" s="25" t="s">
        <v>70</v>
      </c>
      <c r="G19" s="25" t="s">
        <v>85</v>
      </c>
      <c r="H19" s="25" t="s">
        <v>86</v>
      </c>
    </row>
    <row r="20" spans="2:12" x14ac:dyDescent="0.35">
      <c r="B20" s="45" t="s">
        <v>55</v>
      </c>
      <c r="C20" s="45">
        <v>2</v>
      </c>
      <c r="D20" s="45">
        <v>1</v>
      </c>
      <c r="E20" s="45">
        <v>1</v>
      </c>
      <c r="F20" s="45">
        <v>0</v>
      </c>
      <c r="G20" s="45">
        <v>0</v>
      </c>
      <c r="H20" s="52">
        <v>0.96799999999999997</v>
      </c>
    </row>
    <row r="21" spans="2:12" x14ac:dyDescent="0.35">
      <c r="B21" s="48" t="s">
        <v>62</v>
      </c>
      <c r="C21" s="48">
        <v>2</v>
      </c>
      <c r="D21" s="48">
        <v>1</v>
      </c>
      <c r="E21" s="48">
        <v>1</v>
      </c>
      <c r="F21" s="48">
        <v>0</v>
      </c>
      <c r="G21" s="48">
        <v>0</v>
      </c>
      <c r="H21" s="55">
        <v>0.99099999999999999</v>
      </c>
    </row>
    <row r="22" spans="2:12" x14ac:dyDescent="0.35">
      <c r="B22" s="45" t="s">
        <v>69</v>
      </c>
      <c r="C22" s="45">
        <v>1</v>
      </c>
      <c r="D22" s="45">
        <v>0</v>
      </c>
      <c r="E22" s="45">
        <v>0</v>
      </c>
      <c r="F22" s="45">
        <v>1</v>
      </c>
      <c r="G22" s="45">
        <v>0</v>
      </c>
      <c r="H22" s="52">
        <v>0.81699999999999995</v>
      </c>
    </row>
    <row r="23" spans="2:12" x14ac:dyDescent="0.35">
      <c r="B23" s="48" t="s">
        <v>71</v>
      </c>
      <c r="C23" s="48">
        <v>3</v>
      </c>
      <c r="D23" s="48">
        <v>0</v>
      </c>
      <c r="E23" s="48">
        <v>2</v>
      </c>
      <c r="F23" s="48">
        <v>1</v>
      </c>
      <c r="G23" s="48">
        <v>0</v>
      </c>
      <c r="H23" s="55">
        <v>0.872</v>
      </c>
    </row>
    <row r="24" spans="2:12" x14ac:dyDescent="0.35">
      <c r="B24" s="45" t="s">
        <v>76</v>
      </c>
      <c r="C24" s="45">
        <v>1</v>
      </c>
      <c r="D24" s="45">
        <v>0</v>
      </c>
      <c r="E24" s="45">
        <v>0</v>
      </c>
      <c r="F24" s="45">
        <v>1</v>
      </c>
      <c r="G24" s="45">
        <v>0</v>
      </c>
      <c r="H24" s="52">
        <v>0.875</v>
      </c>
    </row>
    <row r="27" spans="2:12" ht="21" x14ac:dyDescent="0.35">
      <c r="B27" s="6" t="s">
        <v>87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2:12" x14ac:dyDescent="0.35">
      <c r="B28" s="25" t="s">
        <v>88</v>
      </c>
      <c r="C28" s="25" t="s">
        <v>89</v>
      </c>
      <c r="D28" s="25" t="s">
        <v>90</v>
      </c>
      <c r="E28" s="25" t="s">
        <v>91</v>
      </c>
      <c r="F28" s="25" t="s">
        <v>92</v>
      </c>
      <c r="G28" s="25" t="s">
        <v>52</v>
      </c>
    </row>
    <row r="29" spans="2:12" x14ac:dyDescent="0.35">
      <c r="B29" s="58" t="s">
        <v>93</v>
      </c>
      <c r="C29" s="44" t="s">
        <v>3</v>
      </c>
      <c r="D29" s="44" t="s">
        <v>174</v>
      </c>
      <c r="E29" s="44" t="s">
        <v>175</v>
      </c>
      <c r="F29" s="45" t="s">
        <v>176</v>
      </c>
      <c r="G29" s="45" t="s">
        <v>79</v>
      </c>
    </row>
    <row r="30" spans="2:12" x14ac:dyDescent="0.35">
      <c r="B30" s="58" t="s">
        <v>93</v>
      </c>
      <c r="C30" s="47" t="s">
        <v>78</v>
      </c>
      <c r="D30" s="47" t="s">
        <v>177</v>
      </c>
      <c r="E30" s="47" t="s">
        <v>178</v>
      </c>
      <c r="F30" s="48" t="s">
        <v>176</v>
      </c>
      <c r="G30" s="48" t="s">
        <v>79</v>
      </c>
    </row>
    <row r="31" spans="2:12" x14ac:dyDescent="0.35">
      <c r="B31" s="59" t="s">
        <v>94</v>
      </c>
      <c r="C31" s="44" t="s">
        <v>75</v>
      </c>
      <c r="D31" s="44" t="s">
        <v>179</v>
      </c>
      <c r="E31" s="44" t="s">
        <v>95</v>
      </c>
      <c r="F31" s="45" t="s">
        <v>180</v>
      </c>
      <c r="G31" s="45" t="s">
        <v>77</v>
      </c>
    </row>
    <row r="32" spans="2:12" x14ac:dyDescent="0.35">
      <c r="B32" s="59" t="s">
        <v>94</v>
      </c>
      <c r="C32" s="47" t="s">
        <v>163</v>
      </c>
      <c r="D32" s="47" t="s">
        <v>181</v>
      </c>
      <c r="E32" s="47" t="s">
        <v>182</v>
      </c>
      <c r="F32" s="48" t="s">
        <v>183</v>
      </c>
      <c r="G32" s="48" t="s">
        <v>164</v>
      </c>
    </row>
    <row r="33" spans="2:7" x14ac:dyDescent="0.35">
      <c r="B33" s="60" t="s">
        <v>96</v>
      </c>
      <c r="C33" s="44" t="s">
        <v>22</v>
      </c>
      <c r="D33" s="44" t="s">
        <v>97</v>
      </c>
      <c r="E33" s="44" t="s">
        <v>98</v>
      </c>
      <c r="F33" s="45" t="s">
        <v>183</v>
      </c>
      <c r="G33" s="45" t="s">
        <v>164</v>
      </c>
    </row>
  </sheetData>
  <mergeCells count="5">
    <mergeCell ref="B1:L1"/>
    <mergeCell ref="B2:L2"/>
    <mergeCell ref="B4:L4"/>
    <mergeCell ref="B18:L18"/>
    <mergeCell ref="B27:L27"/>
  </mergeCells>
  <phoneticPr fontId="14"/>
  <conditionalFormatting sqref="F6:F15">
    <cfRule type="dataBar" priority="2">
      <dataBar>
        <cfvo type="num" val="0"/>
        <cfvo type="num" val="1.2"/>
        <color rgb="FF2E86AB"/>
      </dataBar>
      <extLst>
        <ext xmlns:x14="http://schemas.microsoft.com/office/spreadsheetml/2009/9/main" uri="{B025F937-C7B1-47D3-B67F-A62EFF666E3E}">
          <x14:id>{DF101BA6-BC61-48A1-87AD-BC2CDDC8E992}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101BA6-BC61-48A1-87AD-BC2CDDC8E992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2E86AB"/>
            </x14:dataBar>
          </x14:cfRule>
          <xm:sqref>F6:F15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B1:L27"/>
  <sheetViews>
    <sheetView showGridLines="0" zoomScaleNormal="100" workbookViewId="0">
      <selection activeCell="N52" sqref="N52"/>
    </sheetView>
  </sheetViews>
  <sheetFormatPr defaultColWidth="8.7109375" defaultRowHeight="18" x14ac:dyDescent="0.35"/>
  <cols>
    <col min="1" max="1" width="3" style="1" customWidth="1"/>
    <col min="2" max="2" width="20" style="1" customWidth="1"/>
    <col min="3" max="15" width="13" style="1" customWidth="1"/>
    <col min="16" max="16384" width="8.7109375" style="1"/>
  </cols>
  <sheetData>
    <row r="1" spans="2:12" ht="21.6" customHeight="1" x14ac:dyDescent="0.35">
      <c r="B1" s="2" t="s">
        <v>99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3.75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2:12" ht="21" x14ac:dyDescent="0.35">
      <c r="B4" s="6" t="s">
        <v>100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2:12" x14ac:dyDescent="0.35">
      <c r="B5" s="25" t="s">
        <v>101</v>
      </c>
      <c r="C5" s="25" t="s">
        <v>102</v>
      </c>
      <c r="D5" s="25" t="s">
        <v>103</v>
      </c>
      <c r="E5" s="25" t="s">
        <v>104</v>
      </c>
      <c r="F5" s="25" t="s">
        <v>50</v>
      </c>
      <c r="G5" s="25" t="s">
        <v>105</v>
      </c>
    </row>
    <row r="6" spans="2:12" x14ac:dyDescent="0.35">
      <c r="B6" s="26" t="s">
        <v>106</v>
      </c>
      <c r="C6" s="27">
        <v>24000000</v>
      </c>
      <c r="D6" s="27">
        <v>23200000</v>
      </c>
      <c r="E6" s="61">
        <f t="shared" ref="E6:E17" si="0">D6-C6</f>
        <v>-800000</v>
      </c>
      <c r="F6" s="31">
        <f t="shared" ref="F6:F17" si="1">IF(C6=0,0,D6/C6)</f>
        <v>0.96666666666666667</v>
      </c>
      <c r="G6" s="31">
        <f t="shared" ref="G6:G16" si="2">IF(D$17=0,0,D6/D$17)</f>
        <v>0.4539229113676384</v>
      </c>
    </row>
    <row r="7" spans="2:12" x14ac:dyDescent="0.35">
      <c r="B7" s="28" t="s">
        <v>107</v>
      </c>
      <c r="C7" s="29">
        <v>5400000</v>
      </c>
      <c r="D7" s="29">
        <v>5100000</v>
      </c>
      <c r="E7" s="62">
        <f t="shared" si="0"/>
        <v>-300000</v>
      </c>
      <c r="F7" s="30">
        <f t="shared" si="1"/>
        <v>0.94444444444444442</v>
      </c>
      <c r="G7" s="30">
        <f t="shared" si="2"/>
        <v>9.9784777929954993E-2</v>
      </c>
    </row>
    <row r="8" spans="2:12" x14ac:dyDescent="0.35">
      <c r="B8" s="26" t="s">
        <v>108</v>
      </c>
      <c r="C8" s="27">
        <v>2400000</v>
      </c>
      <c r="D8" s="27">
        <v>2350000</v>
      </c>
      <c r="E8" s="61">
        <f t="shared" si="0"/>
        <v>-50000</v>
      </c>
      <c r="F8" s="31">
        <f t="shared" si="1"/>
        <v>0.97916666666666663</v>
      </c>
      <c r="G8" s="31">
        <f t="shared" si="2"/>
        <v>4.5979260418704752E-2</v>
      </c>
    </row>
    <row r="9" spans="2:12" x14ac:dyDescent="0.35">
      <c r="B9" s="28" t="s">
        <v>109</v>
      </c>
      <c r="C9" s="29">
        <v>3600000</v>
      </c>
      <c r="D9" s="29">
        <v>3500000</v>
      </c>
      <c r="E9" s="62">
        <f t="shared" si="0"/>
        <v>-100000</v>
      </c>
      <c r="F9" s="30">
        <f t="shared" si="1"/>
        <v>0.97222222222222221</v>
      </c>
      <c r="G9" s="30">
        <f t="shared" si="2"/>
        <v>6.847974955977304E-2</v>
      </c>
    </row>
    <row r="10" spans="2:12" x14ac:dyDescent="0.35">
      <c r="B10" s="26" t="s">
        <v>110</v>
      </c>
      <c r="C10" s="27">
        <v>1800000</v>
      </c>
      <c r="D10" s="27">
        <v>1750000</v>
      </c>
      <c r="E10" s="61">
        <f t="shared" si="0"/>
        <v>-50000</v>
      </c>
      <c r="F10" s="31">
        <f t="shared" si="1"/>
        <v>0.97222222222222221</v>
      </c>
      <c r="G10" s="31">
        <f t="shared" si="2"/>
        <v>3.423987477988652E-2</v>
      </c>
    </row>
    <row r="11" spans="2:12" x14ac:dyDescent="0.35">
      <c r="B11" s="28" t="s">
        <v>111</v>
      </c>
      <c r="C11" s="29">
        <v>8400000</v>
      </c>
      <c r="D11" s="29">
        <v>8400000</v>
      </c>
      <c r="E11" s="62">
        <f t="shared" si="0"/>
        <v>0</v>
      </c>
      <c r="F11" s="30">
        <f t="shared" si="1"/>
        <v>1</v>
      </c>
      <c r="G11" s="30">
        <f t="shared" si="2"/>
        <v>0.1643513989434553</v>
      </c>
    </row>
    <row r="12" spans="2:12" x14ac:dyDescent="0.35">
      <c r="B12" s="26" t="s">
        <v>112</v>
      </c>
      <c r="C12" s="27">
        <v>1800000</v>
      </c>
      <c r="D12" s="27">
        <v>1650000</v>
      </c>
      <c r="E12" s="61">
        <f t="shared" si="0"/>
        <v>-150000</v>
      </c>
      <c r="F12" s="31">
        <f t="shared" si="1"/>
        <v>0.91666666666666663</v>
      </c>
      <c r="G12" s="31">
        <f t="shared" si="2"/>
        <v>3.2283310506750144E-2</v>
      </c>
    </row>
    <row r="13" spans="2:12" x14ac:dyDescent="0.35">
      <c r="B13" s="28" t="s">
        <v>184</v>
      </c>
      <c r="C13" s="29">
        <v>1200000</v>
      </c>
      <c r="D13" s="29">
        <v>1180000</v>
      </c>
      <c r="E13" s="62">
        <f t="shared" si="0"/>
        <v>-20000</v>
      </c>
      <c r="F13" s="30">
        <f t="shared" si="1"/>
        <v>0.98333333333333328</v>
      </c>
      <c r="G13" s="30">
        <f t="shared" si="2"/>
        <v>2.3087458423009195E-2</v>
      </c>
    </row>
    <row r="14" spans="2:12" x14ac:dyDescent="0.35">
      <c r="B14" s="26" t="s">
        <v>113</v>
      </c>
      <c r="C14" s="27">
        <v>2400000</v>
      </c>
      <c r="D14" s="27">
        <v>2300000</v>
      </c>
      <c r="E14" s="61">
        <f t="shared" si="0"/>
        <v>-100000</v>
      </c>
      <c r="F14" s="31">
        <f t="shared" si="1"/>
        <v>0.95833333333333337</v>
      </c>
      <c r="G14" s="31">
        <f t="shared" si="2"/>
        <v>4.5000978282136568E-2</v>
      </c>
    </row>
    <row r="15" spans="2:12" x14ac:dyDescent="0.35">
      <c r="B15" s="28" t="s">
        <v>114</v>
      </c>
      <c r="C15" s="29">
        <v>600000</v>
      </c>
      <c r="D15" s="29">
        <v>580000</v>
      </c>
      <c r="E15" s="62">
        <f t="shared" si="0"/>
        <v>-20000</v>
      </c>
      <c r="F15" s="30">
        <f t="shared" si="1"/>
        <v>0.96666666666666667</v>
      </c>
      <c r="G15" s="30">
        <f t="shared" si="2"/>
        <v>1.1348072784190961E-2</v>
      </c>
    </row>
    <row r="16" spans="2:12" x14ac:dyDescent="0.35">
      <c r="B16" s="26" t="s">
        <v>115</v>
      </c>
      <c r="C16" s="27">
        <v>1200000</v>
      </c>
      <c r="D16" s="27">
        <v>1100000</v>
      </c>
      <c r="E16" s="61">
        <f t="shared" si="0"/>
        <v>-100000</v>
      </c>
      <c r="F16" s="31">
        <f t="shared" si="1"/>
        <v>0.91666666666666663</v>
      </c>
      <c r="G16" s="31">
        <f t="shared" si="2"/>
        <v>2.1522207004500096E-2</v>
      </c>
    </row>
    <row r="17" spans="2:12" x14ac:dyDescent="0.35">
      <c r="B17" s="17" t="s">
        <v>5</v>
      </c>
      <c r="C17" s="19">
        <f>SUM(C6:C16)</f>
        <v>52800000</v>
      </c>
      <c r="D17" s="19">
        <f>SUM(D6:D16)</f>
        <v>51110000</v>
      </c>
      <c r="E17" s="63">
        <f t="shared" si="0"/>
        <v>-1690000</v>
      </c>
      <c r="F17" s="64">
        <f t="shared" si="1"/>
        <v>0.96799242424242427</v>
      </c>
      <c r="G17" s="64">
        <v>1</v>
      </c>
    </row>
    <row r="20" spans="2:12" ht="21" x14ac:dyDescent="0.35">
      <c r="B20" s="6" t="s">
        <v>116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2:12" x14ac:dyDescent="0.35">
      <c r="B21" s="12" t="s">
        <v>101</v>
      </c>
      <c r="C21" s="12" t="s">
        <v>126</v>
      </c>
      <c r="D21" s="12" t="s">
        <v>127</v>
      </c>
      <c r="E21" s="12" t="s">
        <v>128</v>
      </c>
      <c r="F21" s="12" t="s">
        <v>129</v>
      </c>
      <c r="G21" s="12" t="s">
        <v>130</v>
      </c>
      <c r="H21" s="12" t="s">
        <v>131</v>
      </c>
      <c r="I21" s="12" t="s">
        <v>132</v>
      </c>
      <c r="J21" s="12" t="s">
        <v>133</v>
      </c>
      <c r="K21" s="12" t="s">
        <v>134</v>
      </c>
    </row>
    <row r="22" spans="2:12" x14ac:dyDescent="0.35">
      <c r="B22" s="14" t="s">
        <v>106</v>
      </c>
      <c r="C22" s="15">
        <v>1900000</v>
      </c>
      <c r="D22" s="15">
        <v>1800000</v>
      </c>
      <c r="E22" s="15">
        <v>2100000</v>
      </c>
      <c r="F22" s="15">
        <v>1950000</v>
      </c>
      <c r="G22" s="15">
        <v>2050000</v>
      </c>
      <c r="H22" s="15">
        <v>2150000</v>
      </c>
      <c r="I22" s="15">
        <v>2300000</v>
      </c>
      <c r="J22" s="15">
        <v>2450000</v>
      </c>
      <c r="K22" s="15">
        <v>2100000</v>
      </c>
    </row>
    <row r="23" spans="2:12" x14ac:dyDescent="0.35">
      <c r="B23" s="32" t="s">
        <v>117</v>
      </c>
      <c r="C23" s="33">
        <v>420000</v>
      </c>
      <c r="D23" s="33">
        <v>400000</v>
      </c>
      <c r="E23" s="33">
        <v>480000</v>
      </c>
      <c r="F23" s="33">
        <v>440000</v>
      </c>
      <c r="G23" s="33">
        <v>470000</v>
      </c>
      <c r="H23" s="33">
        <v>500000</v>
      </c>
      <c r="I23" s="33">
        <v>540000</v>
      </c>
      <c r="J23" s="33">
        <v>580000</v>
      </c>
      <c r="K23" s="33">
        <v>490000</v>
      </c>
    </row>
    <row r="24" spans="2:12" x14ac:dyDescent="0.35">
      <c r="B24" s="14" t="s">
        <v>111</v>
      </c>
      <c r="C24" s="15">
        <v>700000</v>
      </c>
      <c r="D24" s="15">
        <v>700000</v>
      </c>
      <c r="E24" s="15">
        <v>700000</v>
      </c>
      <c r="F24" s="15">
        <v>700000</v>
      </c>
      <c r="G24" s="15">
        <v>700000</v>
      </c>
      <c r="H24" s="15">
        <v>700000</v>
      </c>
      <c r="I24" s="15">
        <v>700000</v>
      </c>
      <c r="J24" s="15">
        <v>700000</v>
      </c>
      <c r="K24" s="15">
        <v>700000</v>
      </c>
    </row>
    <row r="25" spans="2:12" x14ac:dyDescent="0.35">
      <c r="B25" s="32" t="s">
        <v>112</v>
      </c>
      <c r="C25" s="33">
        <v>100000</v>
      </c>
      <c r="D25" s="33">
        <v>120000</v>
      </c>
      <c r="E25" s="33">
        <v>150000</v>
      </c>
      <c r="F25" s="33">
        <v>130000</v>
      </c>
      <c r="G25" s="33">
        <v>160000</v>
      </c>
      <c r="H25" s="33">
        <v>180000</v>
      </c>
      <c r="I25" s="33">
        <v>200000</v>
      </c>
      <c r="J25" s="33">
        <v>220000</v>
      </c>
      <c r="K25" s="33">
        <v>170000</v>
      </c>
    </row>
    <row r="26" spans="2:12" x14ac:dyDescent="0.35">
      <c r="B26" s="14" t="s">
        <v>115</v>
      </c>
      <c r="C26" s="15">
        <v>380000</v>
      </c>
      <c r="D26" s="15">
        <v>360000</v>
      </c>
      <c r="E26" s="15">
        <v>420000</v>
      </c>
      <c r="F26" s="15">
        <v>390000</v>
      </c>
      <c r="G26" s="15">
        <v>410000</v>
      </c>
      <c r="H26" s="15">
        <v>430000</v>
      </c>
      <c r="I26" s="15">
        <v>460000</v>
      </c>
      <c r="J26" s="15">
        <v>490000</v>
      </c>
      <c r="K26" s="15">
        <v>420000</v>
      </c>
    </row>
    <row r="27" spans="2:12" x14ac:dyDescent="0.35">
      <c r="B27" s="65" t="s">
        <v>5</v>
      </c>
      <c r="C27" s="41">
        <f t="shared" ref="C27:K27" si="3">SUM(C22:C26)</f>
        <v>3500000</v>
      </c>
      <c r="D27" s="41">
        <f t="shared" si="3"/>
        <v>3380000</v>
      </c>
      <c r="E27" s="41">
        <f t="shared" si="3"/>
        <v>3850000</v>
      </c>
      <c r="F27" s="41">
        <f t="shared" si="3"/>
        <v>3610000</v>
      </c>
      <c r="G27" s="41">
        <f t="shared" si="3"/>
        <v>3790000</v>
      </c>
      <c r="H27" s="41">
        <f t="shared" si="3"/>
        <v>3960000</v>
      </c>
      <c r="I27" s="41">
        <f t="shared" si="3"/>
        <v>4200000</v>
      </c>
      <c r="J27" s="41">
        <f t="shared" si="3"/>
        <v>4440000</v>
      </c>
      <c r="K27" s="41">
        <f t="shared" si="3"/>
        <v>3880000</v>
      </c>
    </row>
  </sheetData>
  <mergeCells count="4">
    <mergeCell ref="B1:L1"/>
    <mergeCell ref="B2:L2"/>
    <mergeCell ref="B4:L4"/>
    <mergeCell ref="B20:L20"/>
  </mergeCells>
  <phoneticPr fontId="14"/>
  <conditionalFormatting sqref="E6:E16">
    <cfRule type="cellIs" dxfId="1" priority="2" operator="lessThan">
      <formula>0</formula>
    </cfRule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経営ダッシュボード</vt:lpstr>
      <vt:lpstr>チャネル分析</vt:lpstr>
      <vt:lpstr>商品分析</vt:lpstr>
      <vt:lpstr>KPI目標管理</vt:lpstr>
      <vt:lpstr>コスト管理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香織 本橋</cp:lastModifiedBy>
  <cp:revision>1</cp:revision>
  <dcterms:created xsi:type="dcterms:W3CDTF">2026-02-21T11:43:50Z</dcterms:created>
  <dcterms:modified xsi:type="dcterms:W3CDTF">2026-02-21T11:56:54Z</dcterms:modified>
  <dc:language>en-US</dc:language>
</cp:coreProperties>
</file>